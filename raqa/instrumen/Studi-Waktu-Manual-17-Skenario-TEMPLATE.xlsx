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00" tabRatio="600" firstSheet="0" activeTab="1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Skenario" sheetId="2" state="visible" r:id="rId2"/>
    <sheet xmlns:r="http://schemas.openxmlformats.org/officeDocument/2006/relationships" name="Ringkasan" sheetId="3" state="visible" r:id="rId3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rgb="FFFFFFFF"/>
      <sz val="10"/>
    </font>
    <font>
      <name val="Arial"/>
      <family val="2"/>
      <i val="1"/>
      <sz val="9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30549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3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:H1"/>
    </sheetView>
  </sheetViews>
  <sheetFormatPr baseColWidth="8" defaultColWidth="8.875" defaultRowHeight="15"/>
  <cols>
    <col width="16.0078125" customWidth="1" style="11" min="1" max="8"/>
  </cols>
  <sheetData>
    <row r="1">
      <c r="A1" s="10" t="inlineStr">
        <is>
          <t>Studi Waktu Pengujian Manual — 17 Skenario SIMASIS</t>
        </is>
      </c>
    </row>
    <row r="2" ht="45" customHeight="1" s="11">
      <c r="A2" s="12" t="inlineStr">
        <is>
          <t>Tujuan: mengukur berapa lama seorang QA mengerjakan 17 skenario uji secara manual, sebagai pembanding waktu yang dibutuhkan agen AI (RAQA) untuk skenario yang sama. Tidak ada jawaban benar/salah soal kecepatan; bekerjalah dengan kecepatan dan ketelitian normal Anda.</t>
        </is>
      </c>
    </row>
    <row r="3">
      <c r="A3" s="12" t="n"/>
    </row>
    <row r="4">
      <c r="A4" s="13" t="inlineStr">
        <is>
          <t>Yang perlu disiapkan</t>
        </is>
      </c>
    </row>
    <row r="5" ht="15" customHeight="1" s="11">
      <c r="A5" s="12" t="inlineStr">
        <is>
          <t>1. Browser Chrome desktop dan stopwatch (HP boleh).</t>
        </is>
      </c>
    </row>
    <row r="6" ht="30" customHeight="1" s="11">
      <c r="A6" s="12" t="inlineStr">
        <is>
          <t>2. Alamat aplikasi di sel B12 (sudah terisi alamat instance yang dipakai eksperimen; ubah bila penulis memberi alamat lain).</t>
        </is>
      </c>
    </row>
    <row r="7">
      <c r="A7" s="12" t="n"/>
    </row>
    <row r="8">
      <c r="A8" s="13" t="inlineStr">
        <is>
          <t>Cara mengerjakan setiap baris di sheet "Skenario"</t>
        </is>
      </c>
    </row>
    <row r="9" ht="15" customHeight="1" s="11">
      <c r="A9" s="12" t="inlineStr">
        <is>
          <t>1. Mulai stopwatch saat Anda MULAI MEMBACA goal &amp; acceptance criteria baris itu.</t>
        </is>
      </c>
    </row>
    <row r="10" ht="15" customHeight="1" s="11">
      <c r="A10" s="12" t="inlineStr">
        <is>
          <t>2. Buka "URL mulai", lalu periksa SETIAP acceptance criteria secara manual di browser.</t>
        </is>
      </c>
    </row>
    <row r="11" ht="30" customHeight="1" s="11">
      <c r="A11" s="12" t="inlineStr">
        <is>
          <t>3. Hentikan stopwatch saat hasil sudah Anda putuskan. Isi kolom kuning: durasi (detik), hasil, nomor kriteria yang gagal, catatan.</t>
        </is>
      </c>
    </row>
    <row r="12">
      <c r="A12" s="1" t="inlineStr">
        <is>
          <t>Alamat aplikasi</t>
        </is>
      </c>
      <c r="B12" s="14" t="inlineStr">
        <is>
          <t>http://127.0.0.1:8000</t>
        </is>
      </c>
      <c r="C12" s="15" t="n"/>
      <c r="D12" s="16" t="n"/>
    </row>
    <row r="14">
      <c r="A14" s="13" t="inlineStr">
        <is>
          <t>Bagian B (opsional): menulis test otomatis secara manual</t>
        </is>
      </c>
    </row>
    <row r="15" ht="30" customHeight="1" s="11">
      <c r="A15" s="12" t="inlineStr">
        <is>
          <t>Bila Anda terbiasa dengan Playwright, tulis juga satu test Playwright untuk skenario tersebut dan catat waktunya dalam menit. Ini pembanding langsung untuk agen yang MENYUSUN test. Kosongkan bila tidak dikerjakan.</t>
        </is>
      </c>
    </row>
    <row r="16">
      <c r="A16" s="12" t="n"/>
    </row>
    <row r="17">
      <c r="A17" s="13" t="inlineStr">
        <is>
          <t>Aturan</t>
        </is>
      </c>
    </row>
    <row r="18" ht="30" customHeight="1" s="11">
      <c r="A18" s="12" t="inlineStr">
        <is>
          <t>• Kerjakan sendiri, urut dari atas. Jangan mengubah kolom putih (kolom abu-abu dan putih adalah data skenario).</t>
        </is>
      </c>
    </row>
    <row r="19" ht="15" customHeight="1" s="11">
      <c r="A19" s="12" t="inlineStr">
        <is>
          <t>• Acceptance criteria adalah acuan kebenaran, bukan apa yang kebetulan tampil di halaman.</t>
        </is>
      </c>
    </row>
    <row r="20" ht="15" customHeight="1" s="11">
      <c r="A20" s="12" t="inlineStr">
        <is>
          <t>• Bila terganggu (telepon, dsb.), jeda stopwatch. Bila lupa, tulis di Catatan dan beri perkiraan.</t>
        </is>
      </c>
    </row>
    <row r="21" ht="15" customHeight="1" s="11">
      <c r="A21" s="12" t="inlineStr">
        <is>
          <t>• Semua halaman yang diuji adalah portal publik; tidak ada data pribadi santri.</t>
        </is>
      </c>
    </row>
    <row r="22">
      <c r="A22" s="12" t="n"/>
    </row>
    <row r="23">
      <c r="A23" s="13" t="inlineStr">
        <is>
          <t>Contoh pengisian (bukan data uji; jangan disalin)</t>
        </is>
      </c>
    </row>
    <row r="24" ht="24.75" customHeight="1" s="11">
      <c r="A24" s="2" t="inlineStr">
        <is>
          <t>ID</t>
        </is>
      </c>
      <c r="B24" s="2" t="inlineStr">
        <is>
          <t>Durasi manual (detik)</t>
        </is>
      </c>
      <c r="C24" s="2" t="inlineStr">
        <is>
          <t>Hasil</t>
        </is>
      </c>
      <c r="D24" s="2" t="inlineStr">
        <is>
          <t>Kriteria gagal</t>
        </is>
      </c>
      <c r="E24" s="2" t="inlineStr">
        <is>
          <t>Catatan</t>
        </is>
      </c>
    </row>
    <row r="25" ht="36" customHeight="1" s="11">
      <c r="A25" s="3" t="inlineStr">
        <is>
          <t>S-CONTOH</t>
        </is>
      </c>
      <c r="B25" s="3" t="n">
        <v>95</v>
      </c>
      <c r="C25" s="3" t="inlineStr">
        <is>
          <t>FAIL</t>
        </is>
      </c>
      <c r="D25" s="3" t="inlineStr">
        <is>
          <t>2</t>
        </is>
      </c>
      <c r="E25" s="3" t="inlineStr">
        <is>
          <t>Pesan error tidak muncul setelah submit</t>
        </is>
      </c>
    </row>
  </sheetData>
  <mergeCells count="22">
    <mergeCell ref="A9:H9"/>
    <mergeCell ref="A15:H15"/>
    <mergeCell ref="A11:H11"/>
    <mergeCell ref="A1:H1"/>
    <mergeCell ref="A6:H6"/>
    <mergeCell ref="A7:H7"/>
    <mergeCell ref="A16:H16"/>
    <mergeCell ref="A18:H18"/>
    <mergeCell ref="A3:H3"/>
    <mergeCell ref="A21:H21"/>
    <mergeCell ref="A2:H2"/>
    <mergeCell ref="A14:H14"/>
    <mergeCell ref="A5:H5"/>
    <mergeCell ref="A23:H23"/>
    <mergeCell ref="A8:H8"/>
    <mergeCell ref="A22:H22"/>
    <mergeCell ref="A17:H17"/>
    <mergeCell ref="A4:H4"/>
    <mergeCell ref="A20:H20"/>
    <mergeCell ref="A10:H10"/>
    <mergeCell ref="A19:H19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tabSelected="1" zoomScale="80" zoomScaleNormal="80" workbookViewId="0">
      <pane xSplit="2" ySplit="1" topLeftCell="C2" activePane="bottomRight" state="frozen"/>
      <selection pane="bottomLeft" activeCell="A1" sqref="A1"/>
      <selection pane="topRight" activeCell="A1" sqref="A1"/>
      <selection pane="bottomRight" activeCell="G18" sqref="G18"/>
    </sheetView>
  </sheetViews>
  <sheetFormatPr baseColWidth="8" defaultColWidth="8.875" defaultRowHeight="15"/>
  <cols>
    <col width="4.9765625" customWidth="1" style="11" min="1" max="1"/>
    <col width="11.97265625" customWidth="1" style="11" min="2" max="3"/>
    <col width="34.03125" customWidth="1" style="11" min="4" max="4"/>
    <col width="39.953125" customWidth="1" style="11" min="5" max="5"/>
    <col width="46.00390625" customWidth="1" style="11" min="6" max="6"/>
    <col width="11.97265625" customWidth="1" style="11" min="7" max="7"/>
    <col width="13.98828125" customWidth="1" style="11" min="8" max="8"/>
    <col width="11.97265625" customWidth="1" style="11" min="9" max="9"/>
    <col width="34.03125" customWidth="1" style="11" min="10" max="10"/>
    <col width="16.0078125" customWidth="1" style="11" min="11" max="11"/>
  </cols>
  <sheetData>
    <row r="1" ht="71.09999999999999" customHeight="1" s="11">
      <c r="A1" s="4" t="inlineStr">
        <is>
          <t>No</t>
        </is>
      </c>
      <c r="B1" s="4" t="inlineStr">
        <is>
          <t>ID</t>
        </is>
      </c>
      <c r="C1" s="4" t="inlineStr">
        <is>
          <t>Fitur</t>
        </is>
      </c>
      <c r="D1" s="4" t="inlineStr">
        <is>
          <t>URL mulai</t>
        </is>
      </c>
      <c r="E1" s="4" t="inlineStr">
        <is>
          <t>Goal</t>
        </is>
      </c>
      <c r="F1" s="4" t="inlineStr">
        <is>
          <t>Acceptance criteria</t>
        </is>
      </c>
      <c r="G1" s="4" t="inlineStr">
        <is>
          <t>Durasi manual (detik)</t>
        </is>
      </c>
      <c r="H1" s="4" t="inlineStr">
        <is>
          <t>Hasil (PASS/FAIL/TIDAK BISA)</t>
        </is>
      </c>
      <c r="I1" s="4" t="inlineStr">
        <is>
          <t>Nomor kriteria yang gagal</t>
        </is>
      </c>
      <c r="J1" s="4" t="inlineStr">
        <is>
          <t>Catatan / temuan</t>
        </is>
      </c>
      <c r="K1" s="4" t="inlineStr">
        <is>
          <t>(Opsional) Durasi menulis test Playwright (menit)</t>
        </is>
      </c>
    </row>
    <row r="2" ht="60" customHeight="1" s="11">
      <c r="A2" s="5" t="n">
        <v>1</v>
      </c>
      <c r="B2" s="5" t="inlineStr">
        <is>
          <t>S-SMOKE-01</t>
        </is>
      </c>
      <c r="C2" s="5" t="inlineStr">
        <is>
          <t>Beranda</t>
        </is>
      </c>
      <c r="D2" s="5">
        <f>Petunjuk!$B$12&amp;"/"</f>
        <v/>
      </c>
      <c r="E2" s="5" t="inlineStr">
        <is>
          <t>A visitor opens the portal home page.</t>
        </is>
      </c>
      <c r="F2" s="5" t="inlineStr">
        <is>
          <t>1. HTTP status &lt; 400
2. Page title contains 'Pesantren PERSIS 27'
3. Main heading contains 'Tafaqquh Fid Din'</t>
        </is>
      </c>
      <c r="G2" s="3" t="n"/>
      <c r="H2" s="3" t="n"/>
      <c r="I2" s="3" t="n"/>
      <c r="J2" s="3" t="n"/>
      <c r="K2" s="3" t="n"/>
    </row>
    <row r="3" ht="60" customHeight="1" s="11">
      <c r="A3" s="5" t="n">
        <v>2</v>
      </c>
      <c r="B3" s="5" t="inlineStr">
        <is>
          <t>S-NAV-02</t>
        </is>
      </c>
      <c r="C3" s="5" t="inlineStr">
        <is>
          <t>Navigasi</t>
        </is>
      </c>
      <c r="D3" s="5">
        <f>Petunjuk!$B$12&amp;"/"</f>
        <v/>
      </c>
      <c r="E3" s="5" t="inlineStr">
        <is>
          <t>A visitor reaches a page by opening a dropdown menu and clicking an item.</t>
        </is>
      </c>
      <c r="F3" s="5" t="inlineStr">
        <is>
          <t>1. Dropdown item becomes visible
2. URL ends with the item's path
3. Destination shows a heading</t>
        </is>
      </c>
      <c r="G3" s="3" t="n"/>
      <c r="H3" s="3" t="n"/>
      <c r="I3" s="3" t="n"/>
      <c r="J3" s="3" t="n"/>
      <c r="K3" s="3" t="n"/>
    </row>
    <row r="4" ht="45" customHeight="1" s="11">
      <c r="A4" s="5" t="n">
        <v>3</v>
      </c>
      <c r="B4" s="5" t="inlineStr">
        <is>
          <t>S-HOME-01</t>
        </is>
      </c>
      <c r="C4" s="5" t="inlineStr">
        <is>
          <t>Beranda</t>
        </is>
      </c>
      <c r="D4" s="5">
        <f>Petunjuk!$B$12&amp;"/"</f>
        <v/>
      </c>
      <c r="E4" s="5" t="inlineStr">
        <is>
          <t>The 'Daftar PSB' call-to-action leads to the admission site.</t>
        </is>
      </c>
      <c r="F4" s="5" t="inlineStr">
        <is>
          <t>1. href is https://psb.pesantrenpersis27.com</t>
        </is>
      </c>
      <c r="G4" s="3" t="n"/>
      <c r="H4" s="3" t="n"/>
      <c r="I4" s="3" t="n"/>
      <c r="J4" s="3" t="n"/>
      <c r="K4" s="3" t="n"/>
    </row>
    <row r="5" ht="45" customHeight="1" s="11">
      <c r="A5" s="5" t="n">
        <v>4</v>
      </c>
      <c r="B5" s="5" t="inlineStr">
        <is>
          <t>S-HOME-02</t>
        </is>
      </c>
      <c r="C5" s="5" t="inlineStr">
        <is>
          <t>Beranda</t>
        </is>
      </c>
      <c r="D5" s="5">
        <f>Petunjuk!$B$12&amp;"/"</f>
        <v/>
      </c>
      <c r="E5" s="5" t="inlineStr">
        <is>
          <t>The 'Info Terbaru' call-to-action opens the news list.</t>
        </is>
      </c>
      <c r="F5" s="5" t="inlineStr">
        <is>
          <t>1. URL is /portal/berita
2. H1 is 'Berita Terbaru'</t>
        </is>
      </c>
      <c r="G5" s="3" t="n"/>
      <c r="H5" s="3" t="n"/>
      <c r="I5" s="3" t="n"/>
      <c r="J5" s="3" t="n"/>
      <c r="K5" s="3" t="n"/>
    </row>
    <row r="6" ht="45" customHeight="1" s="11">
      <c r="A6" s="5" t="n">
        <v>5</v>
      </c>
      <c r="B6" s="5" t="inlineStr">
        <is>
          <t>S-HOME-03</t>
        </is>
      </c>
      <c r="C6" s="5" t="inlineStr">
        <is>
          <t>Beranda</t>
        </is>
      </c>
      <c r="D6" s="5">
        <f>Petunjuk!$B$12&amp;"/"</f>
        <v/>
      </c>
      <c r="E6" s="5" t="inlineStr">
        <is>
          <t>Statistic links (alumni, santri per jenjang) lead to valid targets.</t>
        </is>
      </c>
      <c r="F6" s="5" t="inlineStr">
        <is>
          <t>1. Alumni page returns &lt; 400
2. Anchors #tsanawiyyah and #muallimin exist on the santri page</t>
        </is>
      </c>
      <c r="G6" s="3" t="n"/>
      <c r="H6" s="3" t="n"/>
      <c r="I6" s="3" t="n"/>
      <c r="J6" s="3" t="n"/>
      <c r="K6" s="3" t="n"/>
    </row>
    <row r="7" ht="60" customHeight="1" s="11">
      <c r="A7" s="5" t="n">
        <v>6</v>
      </c>
      <c r="B7" s="5" t="inlineStr">
        <is>
          <t>S-HOME-04</t>
        </is>
      </c>
      <c r="C7" s="5" t="inlineStr">
        <is>
          <t>Beranda</t>
        </is>
      </c>
      <c r="D7" s="5">
        <f>Petunjuk!$B$12&amp;"/"</f>
        <v/>
      </c>
      <c r="E7" s="5" t="inlineStr">
        <is>
          <t>Each featured-program card opens a modal with the matching title that can be closed.</t>
        </is>
      </c>
      <c r="F7" s="5" t="inlineStr">
        <is>
          <t>1. Five 'Selengkapnya' controls
2. Modal title matches the card
3. 'Tutup' hides the modal</t>
        </is>
      </c>
      <c r="G7" s="3" t="n"/>
      <c r="H7" s="3" t="n"/>
      <c r="I7" s="3" t="n"/>
      <c r="J7" s="3" t="n"/>
      <c r="K7" s="3" t="n"/>
    </row>
    <row r="8" ht="45" customHeight="1" s="11">
      <c r="A8" s="5" t="n">
        <v>7</v>
      </c>
      <c r="B8" s="5" t="inlineStr">
        <is>
          <t>S-HOME-05</t>
        </is>
      </c>
      <c r="C8" s="5" t="inlineStr">
        <is>
          <t>Beranda</t>
        </is>
      </c>
      <c r="D8" s="5">
        <f>Petunjuk!$B$12&amp;"/"</f>
        <v/>
      </c>
      <c r="E8" s="5" t="inlineStr">
        <is>
          <t>A visitor opens the first latest-news item from the home page.</t>
        </is>
      </c>
      <c r="F8" s="5" t="inlineStr">
        <is>
          <t>1. Article H1 equals the card title</t>
        </is>
      </c>
      <c r="G8" s="3" t="n"/>
      <c r="H8" s="3" t="n"/>
      <c r="I8" s="3" t="n"/>
      <c r="J8" s="3" t="n"/>
      <c r="K8" s="3" t="n"/>
    </row>
    <row r="9" ht="45" customHeight="1" s="11">
      <c r="A9" s="5" t="n">
        <v>8</v>
      </c>
      <c r="B9" s="5" t="inlineStr">
        <is>
          <t>S-HOME-06</t>
        </is>
      </c>
      <c r="C9" s="5" t="inlineStr">
        <is>
          <t>Beranda</t>
        </is>
      </c>
      <c r="D9" s="5">
        <f>Petunjuk!$B$12&amp;"/"</f>
        <v/>
      </c>
      <c r="E9" s="5" t="inlineStr">
        <is>
          <t>A visitor expands an FAQ question.</t>
        </is>
      </c>
      <c r="F9" s="5" t="inlineStr">
        <is>
          <t>1. The corresponding answer is visible</t>
        </is>
      </c>
      <c r="G9" s="3" t="n"/>
      <c r="H9" s="3" t="n"/>
      <c r="I9" s="3" t="n"/>
      <c r="J9" s="3" t="n"/>
      <c r="K9" s="3" t="n"/>
    </row>
    <row r="10" ht="45" customHeight="1" s="11">
      <c r="A10" s="5" t="n">
        <v>9</v>
      </c>
      <c r="B10" s="5" t="inlineStr">
        <is>
          <t>S-NEWS-01</t>
        </is>
      </c>
      <c r="C10" s="5" t="inlineStr">
        <is>
          <t>Berita</t>
        </is>
      </c>
      <c r="D10" s="5">
        <f>Petunjuk!$B$12&amp;"/portal/berita"</f>
        <v/>
      </c>
      <c r="E10" s="5" t="inlineStr">
        <is>
          <t>A visitor browses the news list and moves to page 2.</t>
        </is>
      </c>
      <c r="F10" s="5" t="inlineStr">
        <is>
          <t>1. Page 1 shows at least one card
2. Page 2 shows cards not shown on page 1</t>
        </is>
      </c>
      <c r="G10" s="3" t="n"/>
      <c r="H10" s="3" t="n"/>
      <c r="I10" s="3" t="n"/>
      <c r="J10" s="3" t="n"/>
      <c r="K10" s="3" t="n"/>
    </row>
    <row r="11" ht="60" customHeight="1" s="11">
      <c r="A11" s="5" t="n">
        <v>10</v>
      </c>
      <c r="B11" s="5" t="inlineStr">
        <is>
          <t>S-NEWS-05</t>
        </is>
      </c>
      <c r="C11" s="5" t="inlineStr">
        <is>
          <t>Berita</t>
        </is>
      </c>
      <c r="D11" s="5">
        <f>Petunjuk!$B$12&amp;"/portal/berita"</f>
        <v/>
      </c>
      <c r="E11" s="5" t="inlineStr">
        <is>
          <t>Opening an article from the list shows consistent data.</t>
        </is>
      </c>
      <c r="F11" s="5" t="inlineStr">
        <is>
          <t>1. URL equals card href
2. H1 equals card title
3. Publication date equals card date</t>
        </is>
      </c>
      <c r="G11" s="3" t="n"/>
      <c r="H11" s="3" t="n"/>
      <c r="I11" s="3" t="n"/>
      <c r="J11" s="3" t="n"/>
      <c r="K11" s="3" t="n"/>
    </row>
    <row r="12" ht="45" customHeight="1" s="11">
      <c r="A12" s="5" t="n">
        <v>11</v>
      </c>
      <c r="B12" s="5" t="inlineStr">
        <is>
          <t>S-NEWS-06</t>
        </is>
      </c>
      <c r="C12" s="5" t="inlineStr">
        <is>
          <t>Berita</t>
        </is>
      </c>
      <c r="D12" s="5">
        <f>Petunjuk!$B$12&amp;"/portal/jihad-istimewa-pelepasan-jamaah-haji-2026"</f>
        <v/>
      </c>
      <c r="E12" s="5" t="inlineStr">
        <is>
          <t>Breadcrumb and share links refer to the current article.</t>
        </is>
      </c>
      <c r="F12" s="5" t="inlineStr">
        <is>
          <t>1. Breadcrumb has Beranda and Berita
2. WhatsApp/Facebook/Twitter links contain the article URL</t>
        </is>
      </c>
      <c r="G12" s="3" t="n"/>
      <c r="H12" s="3" t="n"/>
      <c r="I12" s="3" t="n"/>
      <c r="J12" s="3" t="n"/>
      <c r="K12" s="3" t="n"/>
    </row>
    <row r="13" ht="45" customHeight="1" s="11">
      <c r="A13" s="5" t="n">
        <v>12</v>
      </c>
      <c r="B13" s="5" t="inlineStr">
        <is>
          <t>S-NEWS-07</t>
        </is>
      </c>
      <c r="C13" s="5" t="inlineStr">
        <is>
          <t>Berita</t>
        </is>
      </c>
      <c r="D13" s="5">
        <f>Petunjuk!$B$12&amp;"/portal/jihad-istimewa-pelepasan-jamaah-haji-2026"</f>
        <v/>
      </c>
      <c r="E13" s="5" t="inlineStr">
        <is>
          <t>Related articles exclude the article being read.</t>
        </is>
      </c>
      <c r="F13" s="5" t="inlineStr">
        <is>
          <t>1. Related list is non-empty
2. Current URL not in related list</t>
        </is>
      </c>
      <c r="G13" s="3" t="n"/>
      <c r="H13" s="3" t="n"/>
      <c r="I13" s="3" t="n"/>
      <c r="J13" s="3" t="n"/>
      <c r="K13" s="3" t="n"/>
    </row>
    <row r="14" ht="45" customHeight="1" s="11">
      <c r="A14" s="5" t="n">
        <v>13</v>
      </c>
      <c r="B14" s="5" t="inlineStr">
        <is>
          <t>S-NEWS-09</t>
        </is>
      </c>
      <c r="C14" s="5" t="inlineStr">
        <is>
          <t>Artikel santri</t>
        </is>
      </c>
      <c r="D14" s="5">
        <f>Petunjuk!$B$12&amp;"/portal/artikel"</f>
        <v/>
      </c>
      <c r="E14" s="5" t="inlineStr">
        <is>
          <t>A visitor opens a student article from the list.</t>
        </is>
      </c>
      <c r="F14" s="5" t="inlineStr">
        <is>
          <t>1. Article H1 equals the card title</t>
        </is>
      </c>
      <c r="G14" s="3" t="n"/>
      <c r="H14" s="3" t="n"/>
      <c r="I14" s="3" t="n"/>
      <c r="J14" s="3" t="n"/>
      <c r="K14" s="3" t="n"/>
    </row>
    <row r="15" ht="75" customHeight="1" s="11">
      <c r="A15" s="5" t="n">
        <v>14</v>
      </c>
      <c r="B15" s="5" t="inlineStr">
        <is>
          <t>S-AUTH-01</t>
        </is>
      </c>
      <c r="C15" s="5" t="inlineStr">
        <is>
          <t>Login</t>
        </is>
      </c>
      <c r="D15" s="5">
        <f>Petunjuk!$B$12&amp;"/login"</f>
        <v/>
      </c>
      <c r="E15" s="5" t="inlineStr">
        <is>
          <t>The SIMASIS login form is complete and accessible.</t>
        </is>
      </c>
      <c r="F15" s="5" t="inlineStr">
        <is>
          <t>1. Username and password inputs are reachable by accessible name/placeholder
2. Password input masks text
3. Submit enabled
4. CSRF token present</t>
        </is>
      </c>
      <c r="G15" s="3" t="n"/>
      <c r="H15" s="3" t="n"/>
      <c r="I15" s="3" t="n"/>
      <c r="J15" s="3" t="n"/>
      <c r="K15" s="3" t="n"/>
    </row>
    <row r="16" ht="45" customHeight="1" s="11">
      <c r="A16" s="5" t="n">
        <v>15</v>
      </c>
      <c r="B16" s="5" t="inlineStr">
        <is>
          <t>S-AUTH-02</t>
        </is>
      </c>
      <c r="C16" s="5" t="inlineStr">
        <is>
          <t>Login</t>
        </is>
      </c>
      <c r="D16" s="5">
        <f>Petunjuk!$B$12&amp;"/login"</f>
        <v/>
      </c>
      <c r="E16" s="5" t="inlineStr">
        <is>
          <t>Submitting an empty login form is rejected.</t>
        </is>
      </c>
      <c r="F16" s="5" t="inlineStr">
        <is>
          <t>1. Remains on /login
2. Browser or server validation shown</t>
        </is>
      </c>
      <c r="G16" s="3" t="n"/>
      <c r="H16" s="3" t="n"/>
      <c r="I16" s="3" t="n"/>
      <c r="J16" s="3" t="n"/>
      <c r="K16" s="3" t="n"/>
    </row>
    <row r="17" ht="60" customHeight="1" s="11">
      <c r="A17" s="5" t="n">
        <v>16</v>
      </c>
      <c r="B17" s="5" t="inlineStr">
        <is>
          <t>S-AUTH-03</t>
        </is>
      </c>
      <c r="C17" s="5" t="inlineStr">
        <is>
          <t>Login</t>
        </is>
      </c>
      <c r="D17" s="5">
        <f>Petunjuk!$B$12&amp;"/login"</f>
        <v/>
      </c>
      <c r="E17" s="5" t="inlineStr">
        <is>
          <t>Invalid credentials are rejected with a clear message.</t>
        </is>
      </c>
      <c r="F17" s="5" t="inlineStr">
        <is>
          <t>1. Remains on /login
2. Error message visible
3. Password field is cleared</t>
        </is>
      </c>
      <c r="G17" s="3" t="n"/>
      <c r="H17" s="3" t="n"/>
      <c r="I17" s="3" t="n"/>
      <c r="J17" s="3" t="n"/>
      <c r="K17" s="3" t="n"/>
    </row>
    <row r="18" ht="45" customHeight="1" s="11">
      <c r="A18" s="5" t="n">
        <v>17</v>
      </c>
      <c r="B18" s="5" t="inlineStr">
        <is>
          <t>S-AUTH-05</t>
        </is>
      </c>
      <c r="C18" s="5" t="inlineStr">
        <is>
          <t>Login</t>
        </is>
      </c>
      <c r="D18" s="5">
        <f>Petunjuk!$B$12&amp;"/login"</f>
        <v/>
      </c>
      <c r="E18" s="5" t="inlineStr">
        <is>
          <t>'Kembali ke Landing Page' returns to the portal.</t>
        </is>
      </c>
      <c r="F18" s="5" t="inlineStr">
        <is>
          <t>1. URL is the portal root</t>
        </is>
      </c>
      <c r="G18" s="3" t="n"/>
      <c r="H18" s="3" t="n"/>
      <c r="I18" s="3" t="n"/>
      <c r="J18" s="3" t="n"/>
      <c r="K18" s="3" t="n"/>
    </row>
  </sheetData>
  <dataValidations count="2">
    <dataValidation sqref="H2:H18" showDropDown="0" showInputMessage="1" showErrorMessage="1" allowBlank="1" errorTitle="Nilai tidak valid" error="PASS, FAIL, atau TIDAK BISA" promptTitle="Pilih" prompt="PASS, FAIL, atau TIDAK BISA" type="list">
      <formula1>"PASS,FAIL,TIDAK BISA"</formula1>
    </dataValidation>
    <dataValidation sqref="G2:G18" showDropDown="0" showInputMessage="0" showErrorMessage="1" allowBlank="1" error="Isi angka detik (0–36000)" type="decimal">
      <formula1>0</formula1>
      <formula2>36000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ColWidth="8.875" defaultRowHeight="15"/>
  <cols>
    <col width="43.98828125" customWidth="1" style="11" min="1" max="1"/>
    <col width="16.0078125" customWidth="1" style="11" min="2" max="2"/>
  </cols>
  <sheetData>
    <row r="1">
      <c r="A1" s="6" t="inlineStr">
        <is>
          <t>Skenario terisi durasinya</t>
        </is>
      </c>
      <c r="B1" s="7">
        <f>COUNT(Skenario!G2:G18)</f>
        <v/>
      </c>
    </row>
    <row r="2">
      <c r="A2" s="6" t="inlineStr">
        <is>
          <t>Total skenario</t>
        </is>
      </c>
      <c r="B2" s="7" t="n">
        <v>17</v>
      </c>
    </row>
    <row r="3">
      <c r="A3" s="6" t="inlineStr">
        <is>
          <t>Total waktu manual (menit)</t>
        </is>
      </c>
      <c r="B3" s="8">
        <f>IF(B1=0,"",SUM(Skenario!G2:G18)/60)</f>
        <v/>
      </c>
    </row>
    <row r="4">
      <c r="A4" s="6" t="inlineStr">
        <is>
          <t>Median waktu manual per skenario (detik)</t>
        </is>
      </c>
      <c r="B4" s="8">
        <f>IF(B1=0,"",MEDIAN(Skenario!G2:G18))</f>
        <v/>
      </c>
    </row>
    <row r="5">
      <c r="A5" s="6" t="inlineStr">
        <is>
          <t>Jumlah PASS</t>
        </is>
      </c>
      <c r="B5" s="7">
        <f>COUNTIF(Skenario!H2:H18,"PASS")</f>
        <v/>
      </c>
    </row>
    <row r="6">
      <c r="A6" s="6" t="inlineStr">
        <is>
          <t>Jumlah FAIL</t>
        </is>
      </c>
      <c r="B6" s="7">
        <f>COUNTIF(Skenario!H2:H18,"FAIL")</f>
        <v/>
      </c>
    </row>
    <row r="7">
      <c r="A7" s="6" t="inlineStr">
        <is>
          <t>Jumlah TIDAK BISA</t>
        </is>
      </c>
      <c r="B7" s="7">
        <f>COUNTIF(Skenario!H2:H18,"TIDAK BISA")</f>
        <v/>
      </c>
    </row>
    <row r="8" ht="24.75" customHeight="1" s="11">
      <c r="A8" s="6" t="inlineStr">
        <is>
          <t>(Opsional) Skenario dengan test Playwright manual</t>
        </is>
      </c>
      <c r="B8" s="7">
        <f>COUNT(Skenario!K2:K18)</f>
        <v/>
      </c>
    </row>
    <row r="9">
      <c r="A9" s="6" t="inlineStr">
        <is>
          <t>(Opsional) Median waktu menulis test (menit)</t>
        </is>
      </c>
      <c r="B9" s="8">
        <f>IF(B8=0,"",MEDIAN(Skenario!K2:K18))</f>
        <v/>
      </c>
    </row>
    <row r="11">
      <c r="A11" s="9" t="inlineStr">
        <is>
          <t>Sheet ini terisi otomatis. Tidak perlu diubah.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2026-09-24T05:43:47Z</dcterms:created>
  <dcterms:modified xmlns:dcterms="http://purl.org/dc/terms/" xmlns:xsi="http://www.w3.org/2001/XMLSchema-instance" xsi:type="dcterms:W3CDTF">2026-10-01T04:37:16Z</dcterms:modified>
</cp:coreProperties>
</file>