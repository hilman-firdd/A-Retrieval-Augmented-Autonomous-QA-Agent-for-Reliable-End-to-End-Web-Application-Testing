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520" tabRatio="600" firstSheet="0" activeTab="2" autoFilterDateGrouping="1"/>
  </bookViews>
  <sheets>
    <sheet xmlns:r="http://schemas.openxmlformats.org/officeDocument/2006/relationships" name="Petunjuk" sheetId="1" state="visible" r:id="rId1"/>
    <sheet xmlns:r="http://schemas.openxmlformats.org/officeDocument/2006/relationships" name="A-Langkah" sheetId="2" state="visible" r:id="rId2"/>
    <sheet xmlns:r="http://schemas.openxmlformats.org/officeDocument/2006/relationships" name="B-Skenario" sheetId="3" state="visible" r:id="rId3"/>
    <sheet xmlns:r="http://schemas.openxmlformats.org/officeDocument/2006/relationships" name="Progres" sheetId="4" state="visible" r:id="rId4"/>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sz val="14"/>
    </font>
    <font>
      <name val="Arial"/>
      <family val="2"/>
      <b val="1"/>
      <sz val="10"/>
    </font>
    <font>
      <name val="Arial"/>
      <family val="2"/>
      <i val="1"/>
      <color rgb="FF808080"/>
      <sz val="9"/>
    </font>
    <font>
      <name val="Arial"/>
      <family val="2"/>
      <sz val="10"/>
    </font>
    <font>
      <name val="Arial"/>
      <family val="2"/>
      <b val="1"/>
      <color rgb="FFFFFFFF"/>
      <sz val="10"/>
    </font>
    <font>
      <name val="Arial"/>
      <family val="2"/>
      <color rgb="FF0563C1"/>
      <sz val="10"/>
      <u val="single"/>
    </font>
  </fonts>
  <fills count="5">
    <fill>
      <patternFill/>
    </fill>
    <fill>
      <patternFill patternType="gray125"/>
    </fill>
    <fill>
      <patternFill patternType="solid">
        <fgColor rgb="FFFFF2CC"/>
      </patternFill>
    </fill>
    <fill>
      <patternFill patternType="solid">
        <fgColor rgb="FFF2F2F2"/>
      </patternFill>
    </fill>
    <fill>
      <patternFill patternType="solid">
        <fgColor rgb="FF305496"/>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3" fillId="0" borderId="0" pivotButton="0" quotePrefix="0" xfId="0"/>
    <xf numFmtId="0" fontId="2" fillId="3"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vertical="center" wrapText="1"/>
    </xf>
    <xf numFmtId="0" fontId="6" fillId="0" borderId="1" applyAlignment="1" pivotButton="0" quotePrefix="0" xfId="0">
      <alignment vertical="top" wrapText="1"/>
    </xf>
    <xf numFmtId="0" fontId="4" fillId="2" borderId="1" applyAlignment="1" pivotButton="0" quotePrefix="0" xfId="0">
      <alignment vertical="top" wrapText="1"/>
    </xf>
    <xf numFmtId="49" fontId="4" fillId="2" borderId="1" applyAlignment="1" pivotButton="0" quotePrefix="0" xfId="0">
      <alignment vertical="top" wrapText="1"/>
    </xf>
    <xf numFmtId="0" fontId="5" fillId="4" borderId="1" applyAlignment="1" pivotButton="0" quotePrefix="0" xfId="0">
      <alignment vertical="top" wrapText="1"/>
    </xf>
    <xf numFmtId="9" fontId="4" fillId="0" borderId="1" applyAlignment="1" pivotButton="0" quotePrefix="0" xfId="0">
      <alignment vertical="top" wrapText="1"/>
    </xf>
    <xf numFmtId="0" fontId="4" fillId="0" borderId="0" applyAlignment="1" pivotButton="0" quotePrefix="0" xfId="0">
      <alignment vertical="top" wrapText="1"/>
    </xf>
    <xf numFmtId="0" fontId="0" fillId="0" borderId="0" pivotButton="0" quotePrefix="0" xfId="0"/>
    <xf numFmtId="0" fontId="2" fillId="0" borderId="0" applyAlignment="1" pivotButton="0" quotePrefix="0" xfId="0">
      <alignment vertical="top" wrapText="1"/>
    </xf>
    <xf numFmtId="0" fontId="2" fillId="3" borderId="1" applyAlignment="1" pivotButton="0" quotePrefix="0" xfId="0">
      <alignment vertical="top" wrapText="1"/>
    </xf>
    <xf numFmtId="0" fontId="0" fillId="0" borderId="2" pivotButton="0" quotePrefix="0" xfId="0"/>
    <xf numFmtId="0" fontId="0" fillId="0" borderId="3" pivotButton="0" quotePrefix="0" xfId="0"/>
    <xf numFmtId="0" fontId="4"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hots/L001.png" TargetMode="External" Id="rId1"/><Relationship Type="http://schemas.openxmlformats.org/officeDocument/2006/relationships/hyperlink" Target="shots/L002.png" TargetMode="External" Id="rId2"/><Relationship Type="http://schemas.openxmlformats.org/officeDocument/2006/relationships/hyperlink" Target="shots/L003.png" TargetMode="External" Id="rId3"/><Relationship Type="http://schemas.openxmlformats.org/officeDocument/2006/relationships/hyperlink" Target="shots/L004.png" TargetMode="External" Id="rId4"/><Relationship Type="http://schemas.openxmlformats.org/officeDocument/2006/relationships/hyperlink" Target="shots/L005.png" TargetMode="External" Id="rId5"/><Relationship Type="http://schemas.openxmlformats.org/officeDocument/2006/relationships/hyperlink" Target="shots/L006.png" TargetMode="External" Id="rId6"/><Relationship Type="http://schemas.openxmlformats.org/officeDocument/2006/relationships/hyperlink" Target="shots/L007.png" TargetMode="External" Id="rId7"/><Relationship Type="http://schemas.openxmlformats.org/officeDocument/2006/relationships/hyperlink" Target="shots/L008.png" TargetMode="External" Id="rId8"/><Relationship Type="http://schemas.openxmlformats.org/officeDocument/2006/relationships/hyperlink" Target="shots/L009.png" TargetMode="External" Id="rId9"/><Relationship Type="http://schemas.openxmlformats.org/officeDocument/2006/relationships/hyperlink" Target="shots/L010.png" TargetMode="External" Id="rId10"/><Relationship Type="http://schemas.openxmlformats.org/officeDocument/2006/relationships/hyperlink" Target="shots/L011.png" TargetMode="External" Id="rId11"/><Relationship Type="http://schemas.openxmlformats.org/officeDocument/2006/relationships/hyperlink" Target="shots/L012.png" TargetMode="External" Id="rId12"/><Relationship Type="http://schemas.openxmlformats.org/officeDocument/2006/relationships/hyperlink" Target="shots/L013.png" TargetMode="External" Id="rId13"/><Relationship Type="http://schemas.openxmlformats.org/officeDocument/2006/relationships/hyperlink" Target="shots/L014.png" TargetMode="External" Id="rId14"/><Relationship Type="http://schemas.openxmlformats.org/officeDocument/2006/relationships/hyperlink" Target="shots/L015.png" TargetMode="External" Id="rId15"/><Relationship Type="http://schemas.openxmlformats.org/officeDocument/2006/relationships/hyperlink" Target="shots/L016.png" TargetMode="External" Id="rId16"/><Relationship Type="http://schemas.openxmlformats.org/officeDocument/2006/relationships/hyperlink" Target="shots/L017.png" TargetMode="External" Id="rId17"/><Relationship Type="http://schemas.openxmlformats.org/officeDocument/2006/relationships/hyperlink" Target="shots/L018.png" TargetMode="External" Id="rId18"/><Relationship Type="http://schemas.openxmlformats.org/officeDocument/2006/relationships/hyperlink" Target="shots/L019.png" TargetMode="External" Id="rId19"/><Relationship Type="http://schemas.openxmlformats.org/officeDocument/2006/relationships/hyperlink" Target="shots/L020.png" TargetMode="External" Id="rId20"/><Relationship Type="http://schemas.openxmlformats.org/officeDocument/2006/relationships/hyperlink" Target="shots/L021.png" TargetMode="External" Id="rId21"/><Relationship Type="http://schemas.openxmlformats.org/officeDocument/2006/relationships/hyperlink" Target="shots/L022.png" TargetMode="External" Id="rId22"/><Relationship Type="http://schemas.openxmlformats.org/officeDocument/2006/relationships/hyperlink" Target="shots/L023.png" TargetMode="External" Id="rId23"/><Relationship Type="http://schemas.openxmlformats.org/officeDocument/2006/relationships/hyperlink" Target="shots/L024.png" TargetMode="External" Id="rId24"/><Relationship Type="http://schemas.openxmlformats.org/officeDocument/2006/relationships/hyperlink" Target="shots/L025.png" TargetMode="External" Id="rId25"/><Relationship Type="http://schemas.openxmlformats.org/officeDocument/2006/relationships/hyperlink" Target="shots/L026.png" TargetMode="External" Id="rId26"/><Relationship Type="http://schemas.openxmlformats.org/officeDocument/2006/relationships/hyperlink" Target="shots/L027.png" TargetMode="External" Id="rId27"/><Relationship Type="http://schemas.openxmlformats.org/officeDocument/2006/relationships/hyperlink" Target="shots/L028.png" TargetMode="External" Id="rId28"/><Relationship Type="http://schemas.openxmlformats.org/officeDocument/2006/relationships/hyperlink" Target="shots/L029.png" TargetMode="External" Id="rId29"/><Relationship Type="http://schemas.openxmlformats.org/officeDocument/2006/relationships/hyperlink" Target="shots/L030.png" TargetMode="External" Id="rId30"/><Relationship Type="http://schemas.openxmlformats.org/officeDocument/2006/relationships/hyperlink" Target="shots/L031.png" TargetMode="External" Id="rId31"/><Relationship Type="http://schemas.openxmlformats.org/officeDocument/2006/relationships/hyperlink" Target="shots/L032.png" TargetMode="External" Id="rId32"/><Relationship Type="http://schemas.openxmlformats.org/officeDocument/2006/relationships/hyperlink" Target="shots/L033.png" TargetMode="External" Id="rId33"/><Relationship Type="http://schemas.openxmlformats.org/officeDocument/2006/relationships/hyperlink" Target="shots/L034.png" TargetMode="External" Id="rId34"/><Relationship Type="http://schemas.openxmlformats.org/officeDocument/2006/relationships/hyperlink" Target="shots/L035.png" TargetMode="External" Id="rId35"/><Relationship Type="http://schemas.openxmlformats.org/officeDocument/2006/relationships/hyperlink" Target="shots/L036.png" TargetMode="External" Id="rId36"/><Relationship Type="http://schemas.openxmlformats.org/officeDocument/2006/relationships/hyperlink" Target="shots/L037.png" TargetMode="External" Id="rId37"/><Relationship Type="http://schemas.openxmlformats.org/officeDocument/2006/relationships/hyperlink" Target="shots/L038.png" TargetMode="External" Id="rId38"/><Relationship Type="http://schemas.openxmlformats.org/officeDocument/2006/relationships/hyperlink" Target="shots/L039.png" TargetMode="External" Id="rId39"/><Relationship Type="http://schemas.openxmlformats.org/officeDocument/2006/relationships/hyperlink" Target="shots/L040.png" TargetMode="External" Id="rId40"/><Relationship Type="http://schemas.openxmlformats.org/officeDocument/2006/relationships/hyperlink" Target="shots/L041.png" TargetMode="External" Id="rId41"/><Relationship Type="http://schemas.openxmlformats.org/officeDocument/2006/relationships/hyperlink" Target="shots/L042.png" TargetMode="External" Id="rId42"/><Relationship Type="http://schemas.openxmlformats.org/officeDocument/2006/relationships/hyperlink" Target="shots/L043.png" TargetMode="External" Id="rId43"/><Relationship Type="http://schemas.openxmlformats.org/officeDocument/2006/relationships/hyperlink" Target="shots/L044.png" TargetMode="External" Id="rId44"/><Relationship Type="http://schemas.openxmlformats.org/officeDocument/2006/relationships/hyperlink" Target="shots/L045.png" TargetMode="External" Id="rId45"/><Relationship Type="http://schemas.openxmlformats.org/officeDocument/2006/relationships/hyperlink" Target="shots/L046.png" TargetMode="External" Id="rId46"/><Relationship Type="http://schemas.openxmlformats.org/officeDocument/2006/relationships/hyperlink" Target="shots/L047.png" TargetMode="External" Id="rId47"/><Relationship Type="http://schemas.openxmlformats.org/officeDocument/2006/relationships/hyperlink" Target="shots/L048.png" TargetMode="External" Id="rId48"/><Relationship Type="http://schemas.openxmlformats.org/officeDocument/2006/relationships/hyperlink" Target="shots/L049.png" TargetMode="External" Id="rId49"/><Relationship Type="http://schemas.openxmlformats.org/officeDocument/2006/relationships/hyperlink" Target="shots/L050.png" TargetMode="External" Id="rId50"/><Relationship Type="http://schemas.openxmlformats.org/officeDocument/2006/relationships/hyperlink" Target="shots/L051.png" TargetMode="External" Id="rId51"/><Relationship Type="http://schemas.openxmlformats.org/officeDocument/2006/relationships/hyperlink" Target="shots/L052.png" TargetMode="External" Id="rId52"/><Relationship Type="http://schemas.openxmlformats.org/officeDocument/2006/relationships/hyperlink" Target="shots/L053.png" TargetMode="External" Id="rId53"/><Relationship Type="http://schemas.openxmlformats.org/officeDocument/2006/relationships/hyperlink" Target="shots/L054.png" TargetMode="External" Id="rId54"/><Relationship Type="http://schemas.openxmlformats.org/officeDocument/2006/relationships/hyperlink" Target="shots/L055.png" TargetMode="External" Id="rId55"/><Relationship Type="http://schemas.openxmlformats.org/officeDocument/2006/relationships/hyperlink" Target="shots/L056.png" TargetMode="External" Id="rId56"/><Relationship Type="http://schemas.openxmlformats.org/officeDocument/2006/relationships/hyperlink" Target="shots/L057.png" TargetMode="External" Id="rId57"/><Relationship Type="http://schemas.openxmlformats.org/officeDocument/2006/relationships/hyperlink" Target="shots/L058.png" TargetMode="External" Id="rId58"/><Relationship Type="http://schemas.openxmlformats.org/officeDocument/2006/relationships/hyperlink" Target="shots/L059.png" TargetMode="External" Id="rId59"/><Relationship Type="http://schemas.openxmlformats.org/officeDocument/2006/relationships/hyperlink" Target="shots/L060.png" TargetMode="External" Id="rId60"/><Relationship Type="http://schemas.openxmlformats.org/officeDocument/2006/relationships/hyperlink" Target="shots/L061.png" TargetMode="External" Id="rId61"/><Relationship Type="http://schemas.openxmlformats.org/officeDocument/2006/relationships/hyperlink" Target="shots/L062.png" TargetMode="External" Id="rId62"/><Relationship Type="http://schemas.openxmlformats.org/officeDocument/2006/relationships/hyperlink" Target="shots/L063.png" TargetMode="External" Id="rId63"/><Relationship Type="http://schemas.openxmlformats.org/officeDocument/2006/relationships/hyperlink" Target="shots/L064.png" TargetMode="External" Id="rId64"/><Relationship Type="http://schemas.openxmlformats.org/officeDocument/2006/relationships/hyperlink" Target="shots/L065.png" TargetMode="External" Id="rId65"/><Relationship Type="http://schemas.openxmlformats.org/officeDocument/2006/relationships/hyperlink" Target="shots/L066.png" TargetMode="External" Id="rId66"/><Relationship Type="http://schemas.openxmlformats.org/officeDocument/2006/relationships/hyperlink" Target="shots/L067.png" TargetMode="External" Id="rId67"/><Relationship Type="http://schemas.openxmlformats.org/officeDocument/2006/relationships/hyperlink" Target="shots/L068.png" TargetMode="External" Id="rId68"/><Relationship Type="http://schemas.openxmlformats.org/officeDocument/2006/relationships/hyperlink" Target="shots/L069.png" TargetMode="External" Id="rId69"/><Relationship Type="http://schemas.openxmlformats.org/officeDocument/2006/relationships/hyperlink" Target="shots/L070.png" TargetMode="External" Id="rId70"/></Relationships>
</file>

<file path=xl/worksheets/sheet1.xml><?xml version="1.0" encoding="utf-8"?>
<worksheet xmlns="http://schemas.openxmlformats.org/spreadsheetml/2006/main">
  <sheetPr>
    <outlinePr summaryBelow="1" summaryRight="1"/>
    <pageSetUpPr/>
  </sheetPr>
  <dimension ref="A1:H33"/>
  <sheetViews>
    <sheetView showGridLines="0" topLeftCell="A19" zoomScale="164" workbookViewId="0">
      <selection activeCell="F26" sqref="F26"/>
    </sheetView>
  </sheetViews>
  <sheetFormatPr baseColWidth="10" defaultColWidth="8.83203125" defaultRowHeight="15"/>
  <cols>
    <col width="16" customWidth="1" style="14" min="1" max="8"/>
  </cols>
  <sheetData>
    <row r="1" ht="18" customHeight="1" s="14">
      <c r="A1" s="1" t="inlineStr">
        <is>
          <t>Penilaian Buta Langkah &amp; Skrip Pengujian Otomatis — SIMASIS</t>
        </is>
      </c>
    </row>
    <row r="3">
      <c r="A3" s="2" t="inlineStr">
        <is>
          <t>Inisial reviewer</t>
        </is>
      </c>
      <c r="B3" s="3" t="inlineStr">
        <is>
          <t>W</t>
        </is>
      </c>
      <c r="C3" s="4" t="inlineStr">
        <is>
          <t>mis. AB</t>
        </is>
      </c>
    </row>
    <row r="4">
      <c r="A4" s="2" t="inlineStr">
        <is>
          <t>Tanggal</t>
        </is>
      </c>
      <c r="B4" s="3" t="n">
        <v>23092026</v>
      </c>
      <c r="C4" s="4" t="inlineStr">
        <is>
          <t>dd-mm-yyyy</t>
        </is>
      </c>
    </row>
    <row r="6">
      <c r="A6" s="15" t="inlineStr">
        <is>
          <t>Persetujuan (informed consent)</t>
        </is>
      </c>
    </row>
    <row r="7" ht="45" customHeight="1" s="14">
      <c r="A7" s="13" t="inlineStr">
        <is>
          <t>"Saya bersedia menilai langkah-langkah pengujian otomatis untuk penelitian tesis Hilman Firdaus. Saya memahami bahwa penilaian saya bersifat sukarela, dapat saya hentikan kapan saja, nama saya tidak akan dicantumkan tanpa izin, dan bahan penilaian tidak berisi data pribadi santri, asatidz, atau orang tua."</t>
        </is>
      </c>
    </row>
    <row r="8">
      <c r="A8" s="2" t="inlineStr">
        <is>
          <t>Saya setuju</t>
        </is>
      </c>
      <c r="B8" s="3" t="inlineStr">
        <is>
          <t>ya</t>
        </is>
      </c>
    </row>
    <row r="10">
      <c r="A10" s="15" t="inlineStr">
        <is>
          <t>Tentang tugas ini</t>
        </is>
      </c>
    </row>
    <row r="11" ht="45" customHeight="1" s="14">
      <c r="A11" s="13" t="inlineStr">
        <is>
          <t>Anda menilai langkah-langkah pengujian untuk portal web SIMASIS. Langkah ini dihasilkan oleh beberapa varian sistem. Anda TIDAK diberi tahu varian mana yang menghasilkan langkah mana, dan itu disengaja: nilailah setiap langkah apa adanya. Perkiraan waktu: ±1 menit per langkah, ±2 menit per skenario; boleh dua sesi.</t>
        </is>
      </c>
    </row>
    <row r="12" ht="15" customHeight="1" s="14">
      <c r="A12" s="13" t="inlineStr">
        <is>
          <t>Kerjakan SENDIRI. Jangan berdiskusi dengan reviewer lain sampai semua penilaian selesai.</t>
        </is>
      </c>
    </row>
    <row r="13" ht="30" customHeight="1" s="14">
      <c r="A13" s="13" t="inlineStr">
        <is>
          <t>Acuan kebenaran Anda adalah ACCEPTANCE CRITERIA di setiap baris, bukan apa yang kebetulan tampil di halaman. Screenshot (kolom "screenshot", klik tautannya) menunjukkan halaman saat langkah diusulkan.</t>
        </is>
      </c>
    </row>
    <row r="14">
      <c r="A14" s="13" t="n"/>
    </row>
    <row r="15">
      <c r="A15" s="15" t="inlineStr">
        <is>
          <t>Bagian A — sheet "A-Langkah" (isi 3 kolom kuning per baris)</t>
        </is>
      </c>
    </row>
    <row r="16" ht="45" customHeight="1" s="14">
      <c r="A16" s="13" t="inlineStr">
        <is>
          <t>R1 Relevansi: 2 = langsung memeriksa salah satu acceptance criteria; 1 = langkah persiapan yang berguna (navigasi, membuka menu) tapi belum memeriksa kriteria; 0 = tidak relevan, ATAU selalu benar sehingga tidak menguji apa pun.</t>
        </is>
      </c>
    </row>
    <row r="17" ht="45" customHeight="1" s="14">
      <c r="A17" s="13" t="inlineStr">
        <is>
          <t>R2 Kebenaran ekspektasi: yes = nilai yang diharapkan sesuai kriteria; no = salah/bertentangan dengan kriteria; unsure = tidak bisa dipastikan (seperlunya saja). Untuk langkah navigasi tanpa ekspektasi, isi yes bila masuk akal.</t>
        </is>
      </c>
    </row>
    <row r="18" ht="30" customHeight="1" s="14">
      <c r="A18" s="13" t="inlineStr">
        <is>
          <t>R3 Keputusan (bayangkan Anda me-review sebelum masuk suite regresi): accept = layak apa adanya; edit = berguna tapi perlu diubah (tulis perubahannya di comment); reject = tidak layak.</t>
        </is>
      </c>
    </row>
    <row r="19">
      <c r="A19" s="13" t="n"/>
    </row>
    <row r="20">
      <c r="A20" s="15" t="inlineStr">
        <is>
          <t>Bagian B — sheet "B-Skenario"</t>
        </is>
      </c>
    </row>
    <row r="21" ht="45" customHeight="1" s="14">
      <c r="A21" s="13" t="inlineStr">
        <is>
          <t>covered_criteria_numbers: nomor acceptance criteria yang BENAR-BENAR diuji oleh assertion, dipisah koma (mis. 1,3); kosongkan bila tidak ada. overall: full / partial / none. tautology: yes bila ada assertion yang selalu benar.</t>
        </is>
      </c>
    </row>
    <row r="22">
      <c r="A22" s="13" t="n"/>
    </row>
    <row r="23">
      <c r="A23" s="15" t="inlineStr">
        <is>
          <t>Contoh kalibrasi (bukan item penilaian) — goal: "tombol Daftar PSB menuju situs PSB via HTTPS"</t>
        </is>
      </c>
    </row>
    <row r="24">
      <c r="A24" s="16" t="inlineStr">
        <is>
          <t>Langkah</t>
        </is>
      </c>
      <c r="B24" s="17" t="n"/>
      <c r="C24" s="17" t="n"/>
      <c r="D24" s="17" t="n"/>
      <c r="E24" s="18" t="n"/>
      <c r="F24" s="16" t="inlineStr">
        <is>
          <t>R1</t>
        </is>
      </c>
      <c r="G24" s="16" t="inlineStr">
        <is>
          <t>R2</t>
        </is>
      </c>
      <c r="H24" s="16" t="inlineStr">
        <is>
          <t>R3</t>
        </is>
      </c>
    </row>
    <row r="25" ht="28" customHeight="1" s="14">
      <c r="A25" s="19" t="inlineStr">
        <is>
          <t>Check that link "Daftar PSB" has attribute href containing "https://psb.pesantrenpersis27.com"</t>
        </is>
      </c>
      <c r="B25" s="17" t="n"/>
      <c r="C25" s="17" t="n"/>
      <c r="D25" s="17" t="n"/>
      <c r="E25" s="18" t="n"/>
      <c r="F25" s="19" t="n">
        <v>2</v>
      </c>
      <c r="G25" s="19" t="inlineStr">
        <is>
          <t>yes</t>
        </is>
      </c>
      <c r="H25" s="19" t="inlineStr">
        <is>
          <t>accept</t>
        </is>
      </c>
    </row>
    <row r="26" ht="28" customHeight="1" s="14">
      <c r="A26" s="19" t="inlineStr">
        <is>
          <t>Click link "INFO PSB"</t>
        </is>
      </c>
      <c r="B26" s="17" t="n"/>
      <c r="C26" s="17" t="n"/>
      <c r="D26" s="17" t="n"/>
      <c r="E26" s="18" t="n"/>
      <c r="F26" s="19" t="n">
        <v>1</v>
      </c>
      <c r="G26" s="19" t="inlineStr">
        <is>
          <t>yes</t>
        </is>
      </c>
      <c r="H26" s="19" t="inlineStr">
        <is>
          <t>accept</t>
        </is>
      </c>
    </row>
    <row r="27" ht="28" customHeight="1" s="14">
      <c r="A27" s="19" t="inlineStr">
        <is>
          <t>Check that the page title contains "Portal"</t>
        </is>
      </c>
      <c r="B27" s="17" t="n"/>
      <c r="C27" s="17" t="n"/>
      <c r="D27" s="17" t="n"/>
      <c r="E27" s="18" t="n"/>
      <c r="F27" s="19" t="n">
        <v>0</v>
      </c>
      <c r="G27" s="19" t="inlineStr">
        <is>
          <t>yes</t>
        </is>
      </c>
      <c r="H27" s="19" t="inlineStr">
        <is>
          <t>reject</t>
        </is>
      </c>
    </row>
    <row r="29" ht="45" customHeight="1" s="14">
      <c r="A29" s="13" t="inlineStr">
        <is>
          <t>Perhatikan assertion yang "selalu benar". Contoh nyata: untuk goal "kredensial salah ditolak dengan pesan jelas", langkah "Check that textbox Password has attribute type containing password" bernilai R1 = 0: field password selalu bertipe password apa pun kredensialnya, jadi langkah ini tidak menguji penolakan kredensial.</t>
        </is>
      </c>
    </row>
    <row r="30">
      <c r="A30" s="13" t="n"/>
    </row>
    <row r="31">
      <c r="A31" s="15" t="inlineStr">
        <is>
          <t>Aturan penting</t>
        </is>
      </c>
    </row>
    <row r="32" ht="45" customHeight="1" s="14">
      <c r="A32" s="13" t="inlineStr">
        <is>
          <t>1. Nilai berdasarkan acceptance criteria.  2. Jangan menebak varian mana yang menghasilkan langkah.  3. Bila ragu antara dua nilai, pilih yang lebih ketat.  4. Hanya isi kolom kuning.  5. Simpan file sebagai H1-&lt;inisial&gt;.xlsx dan kirim kembali ke penulis.</t>
        </is>
      </c>
    </row>
    <row r="33" ht="15" customHeight="1" s="14">
      <c r="A33" s="13" t="inlineStr">
        <is>
          <t>Semua langkah berasal dari portal publik; tidak ada data pribadi di bahan penilaian ini.</t>
        </is>
      </c>
    </row>
  </sheetData>
  <mergeCells count="25">
    <mergeCell ref="A30:H30"/>
    <mergeCell ref="A24:E24"/>
    <mergeCell ref="A15:H15"/>
    <mergeCell ref="A11:H11"/>
    <mergeCell ref="A6:H6"/>
    <mergeCell ref="A7:H7"/>
    <mergeCell ref="A16:H16"/>
    <mergeCell ref="A25:E25"/>
    <mergeCell ref="A27:E27"/>
    <mergeCell ref="A12:H12"/>
    <mergeCell ref="A18:H18"/>
    <mergeCell ref="A21:H21"/>
    <mergeCell ref="A26:E26"/>
    <mergeCell ref="A33:H33"/>
    <mergeCell ref="A14:H14"/>
    <mergeCell ref="A23:H23"/>
    <mergeCell ref="A32:H32"/>
    <mergeCell ref="A22:H22"/>
    <mergeCell ref="A17:H17"/>
    <mergeCell ref="A29:H29"/>
    <mergeCell ref="A20:H20"/>
    <mergeCell ref="A10:H10"/>
    <mergeCell ref="A19:H19"/>
    <mergeCell ref="A13:H13"/>
    <mergeCell ref="A31:H31"/>
  </mergeCells>
  <dataValidations count="1">
    <dataValidation sqref="B8" showDropDown="0" showInputMessage="1" showErrorMessage="1" allowBlank="1" errorTitle="Nilai tidak valid" error="ya atau tidak" promptTitle="Pilih" prompt="ya atau tidak" type="list">
      <formula1>"ya,tidak"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1"/>
  <sheetViews>
    <sheetView workbookViewId="0">
      <pane xSplit="1" ySplit="1" topLeftCell="B64" activePane="bottomRight" state="frozen"/>
      <selection pane="topRight" activeCell="A1" sqref="A1"/>
      <selection pane="bottomLeft" activeCell="A1" sqref="A1"/>
      <selection pane="bottomRight" activeCell="H2" sqref="H2"/>
    </sheetView>
  </sheetViews>
  <sheetFormatPr baseColWidth="10" defaultColWidth="8.83203125" defaultRowHeight="15"/>
  <cols>
    <col width="8" customWidth="1" style="14" min="1" max="1"/>
    <col width="30" customWidth="1" style="14" min="2" max="2"/>
    <col width="34" customWidth="1" style="14" min="3" max="3"/>
    <col width="26" customWidth="1" style="14" min="4" max="4"/>
    <col width="20" customWidth="1" style="14" min="5" max="5"/>
    <col width="46" customWidth="1" style="14" min="6" max="6"/>
    <col width="14" customWidth="1" style="14" min="7" max="7"/>
    <col width="11" customWidth="1" style="14" min="8" max="8"/>
    <col width="12" customWidth="1" style="14" min="9" max="9"/>
    <col width="13" customWidth="1" style="14" min="10" max="10"/>
    <col width="30" customWidth="1" style="14" min="11" max="11"/>
  </cols>
  <sheetData>
    <row r="1" ht="32" customHeight="1" s="14">
      <c r="A1" s="7" t="inlineStr">
        <is>
          <t>item_id</t>
        </is>
      </c>
      <c r="B1" s="7" t="inlineStr">
        <is>
          <t>goal</t>
        </is>
      </c>
      <c r="C1" s="7" t="inlineStr">
        <is>
          <t>acceptance_criteria</t>
        </is>
      </c>
      <c r="D1" s="7" t="inlineStr">
        <is>
          <t>page_url</t>
        </is>
      </c>
      <c r="E1" s="7" t="inlineStr">
        <is>
          <t>page_title</t>
        </is>
      </c>
      <c r="F1" s="7" t="inlineStr">
        <is>
          <t>proposed_step</t>
        </is>
      </c>
      <c r="G1" s="7" t="inlineStr">
        <is>
          <t>screenshot</t>
        </is>
      </c>
      <c r="H1" s="7" t="inlineStr">
        <is>
          <t>R1_relevance_0_1_2</t>
        </is>
      </c>
      <c r="I1" s="7" t="inlineStr">
        <is>
          <t>R2_correct_yes_no_unsure</t>
        </is>
      </c>
      <c r="J1" s="7" t="inlineStr">
        <is>
          <t>R3_decision_accept_edit_reject</t>
        </is>
      </c>
      <c r="K1" s="7" t="inlineStr">
        <is>
          <t>comment</t>
        </is>
      </c>
    </row>
    <row r="2" ht="60" customHeight="1" s="14">
      <c r="A2" s="19" t="inlineStr">
        <is>
          <t>L001</t>
        </is>
      </c>
      <c r="B2" s="19" t="inlineStr">
        <is>
          <t>Invalid credentials are rejected with a clear message.</t>
        </is>
      </c>
      <c r="C2" s="19" t="inlineStr">
        <is>
          <t>1. Remains on /login
2. Error message visible
3. Password field is cleared</t>
        </is>
      </c>
      <c r="D2" s="19" t="inlineStr">
        <is>
          <t>http://127.0.0.1:8000/login</t>
        </is>
      </c>
      <c r="E2" s="19" t="inlineStr">
        <is>
          <t>SIMASIS - Sistem Manajemen Pesantren Persis 27</t>
        </is>
      </c>
      <c r="F2" s="19" t="inlineStr">
        <is>
          <t>Check that textbox "Email atau Username" has attribute value containing "email@example.com"</t>
        </is>
      </c>
      <c r="G2" s="8" t="inlineStr">
        <is>
          <t>buka L001</t>
        </is>
      </c>
      <c r="H2" s="9" t="n"/>
      <c r="I2" s="9" t="n"/>
      <c r="J2" s="9" t="n"/>
      <c r="K2" s="9" t="n"/>
    </row>
    <row r="3" ht="60" customHeight="1" s="14">
      <c r="A3" s="19" t="inlineStr">
        <is>
          <t>L002</t>
        </is>
      </c>
      <c r="B3" s="19" t="inlineStr">
        <is>
          <t>The 'Daftar PSB' call-to-action leads to the admission site.</t>
        </is>
      </c>
      <c r="C3" s="19" t="inlineStr">
        <is>
          <t>1. href is https://psb.pesantrenpersis27.com</t>
        </is>
      </c>
      <c r="D3" s="19" t="inlineStr">
        <is>
          <t>http://127.0.0.1:8000/</t>
        </is>
      </c>
      <c r="E3" s="19" t="inlineStr">
        <is>
          <t>Portal Pesantren PERSIS 27 Situaksan</t>
        </is>
      </c>
      <c r="F3" s="19" t="inlineStr">
        <is>
          <t>Check that link "Daftar PSB " has attribute href containing "https://psb.pesantrenpersis27.com"</t>
        </is>
      </c>
      <c r="G3" s="8" t="inlineStr">
        <is>
          <t>buka L002</t>
        </is>
      </c>
      <c r="H3" s="9" t="n"/>
      <c r="I3" s="9" t="n"/>
      <c r="J3" s="9" t="n"/>
      <c r="K3" s="9" t="n"/>
    </row>
    <row r="4" ht="60" customHeight="1" s="14">
      <c r="A4" s="19" t="inlineStr">
        <is>
          <t>L003</t>
        </is>
      </c>
      <c r="B4" s="19" t="inlineStr">
        <is>
          <t>The SIMASIS login form is complete and accessible.</t>
        </is>
      </c>
      <c r="C4" s="19" t="inlineStr">
        <is>
          <t>1. Username and password inputs are reachable by accessible name/placeholder
2. Password input masks text
3. Submit enabled
4. CSRF token present</t>
        </is>
      </c>
      <c r="D4" s="19" t="inlineStr">
        <is>
          <t>http://127.0.0.1:8000/login</t>
        </is>
      </c>
      <c r="E4" s="19" t="inlineStr">
        <is>
          <t>SIMASIS - Sistem Manajemen Pesantren Persis 27</t>
        </is>
      </c>
      <c r="F4" s="19" t="inlineStr">
        <is>
          <t>Check that textbox "Email atau Username" has attribute placeholder containing "placeholder"</t>
        </is>
      </c>
      <c r="G4" s="8" t="inlineStr">
        <is>
          <t>buka L003</t>
        </is>
      </c>
      <c r="H4" s="9" t="n"/>
      <c r="I4" s="9" t="n"/>
      <c r="J4" s="9" t="n"/>
      <c r="K4" s="9" t="n"/>
    </row>
    <row r="5" ht="60" customHeight="1" s="14">
      <c r="A5" s="19" t="inlineStr">
        <is>
          <t>L004</t>
        </is>
      </c>
      <c r="B5" s="19" t="inlineStr">
        <is>
          <t>Submitting an empty login form is rejected.</t>
        </is>
      </c>
      <c r="C5" s="19" t="inlineStr">
        <is>
          <t>1. Remains on /login
2. Browser or server validation shown</t>
        </is>
      </c>
      <c r="D5" s="19" t="inlineStr">
        <is>
          <t>http://127.0.0.1:8000/login</t>
        </is>
      </c>
      <c r="E5" s="19" t="inlineStr">
        <is>
          <t>SIMASIS - Sistem Manajemen Pesantren Persis 27</t>
        </is>
      </c>
      <c r="F5" s="19" t="inlineStr">
        <is>
          <t>Check that textbox "Email atau Username" has attribute placeholder containing "placeholder"</t>
        </is>
      </c>
      <c r="G5" s="8" t="inlineStr">
        <is>
          <t>buka L004</t>
        </is>
      </c>
      <c r="H5" s="9" t="n"/>
      <c r="I5" s="9" t="n"/>
      <c r="J5" s="9" t="n"/>
      <c r="K5" s="9" t="n"/>
    </row>
    <row r="6" ht="60" customHeight="1" s="14">
      <c r="A6" s="19" t="inlineStr">
        <is>
          <t>L005</t>
        </is>
      </c>
      <c r="B6" s="19" t="inlineStr">
        <is>
          <t>Related articles exclude the article being read.</t>
        </is>
      </c>
      <c r="C6" s="19" t="inlineStr">
        <is>
          <t>1. Related list is non-empty
2. Current URL not in related list</t>
        </is>
      </c>
      <c r="D6" s="19" t="inlineStr">
        <is>
          <t>http://127.0.0.1:8000/portal/jihad-istimewa-pelepasan-jamaah-haji-2026</t>
        </is>
      </c>
      <c r="E6" s="19" t="inlineStr">
        <is>
          <t>JIHAD ISTIMEWA &amp; PELEPASAN JAMA’AH HAJI 2026 - Pesantren Persis 27</t>
        </is>
      </c>
      <c r="F6" s="19" t="inlineStr">
        <is>
          <t>Check that link "SILATURAHMI ORANG TUA SANTRI BARU TA. 2026-2027" has attribute href containing "http://127.0.0.1:8000/portal/silaturahmi-orang-tua-santri-baru-ta-2026-2027"</t>
        </is>
      </c>
      <c r="G6" s="8" t="inlineStr">
        <is>
          <t>buka L005</t>
        </is>
      </c>
      <c r="H6" s="9" t="n"/>
      <c r="I6" s="9" t="n"/>
      <c r="J6" s="9" t="n"/>
      <c r="K6" s="9" t="n"/>
    </row>
    <row r="7" ht="60" customHeight="1" s="14">
      <c r="A7" s="19" t="inlineStr">
        <is>
          <t>L006</t>
        </is>
      </c>
      <c r="B7" s="19" t="inlineStr">
        <is>
          <t>A visitor browses the news list and moves to page 2.</t>
        </is>
      </c>
      <c r="C7" s="19" t="inlineStr">
        <is>
          <t>1. Page 1 shows at least one card
2. Page 2 shows cards not shown on page 1</t>
        </is>
      </c>
      <c r="D7" s="19" t="inlineStr">
        <is>
          <t>http://127.0.0.1:8000/portal/berita</t>
        </is>
      </c>
      <c r="E7" s="19" t="inlineStr">
        <is>
          <t>Berita Terbaru - Portal Pesantren PERSIS 27</t>
        </is>
      </c>
      <c r="F7" s="19" t="inlineStr">
        <is>
          <t>Click link "2"</t>
        </is>
      </c>
      <c r="G7" s="8" t="inlineStr">
        <is>
          <t>buka L006</t>
        </is>
      </c>
      <c r="H7" s="9" t="n"/>
      <c r="I7" s="9" t="n"/>
      <c r="J7" s="9" t="n"/>
      <c r="K7" s="9" t="n"/>
    </row>
    <row r="8" ht="60" customHeight="1" s="14">
      <c r="A8" s="19" t="inlineStr">
        <is>
          <t>L007</t>
        </is>
      </c>
      <c r="B8" s="19" t="inlineStr">
        <is>
          <t>Statistic links (alumni, santri per jenjang) lead to valid targets.</t>
        </is>
      </c>
      <c r="C8" s="19" t="inlineStr">
        <is>
          <t>1. Alumni page returns &lt; 400
2. Anchors #tsanawiyyah and #muallimin exist on the santri page</t>
        </is>
      </c>
      <c r="D8" s="19" t="inlineStr">
        <is>
          <t>http://127.0.0.1:8000/</t>
        </is>
      </c>
      <c r="E8" s="19" t="inlineStr">
        <is>
          <t>Portal Pesantren PERSIS 27 Situaksan</t>
        </is>
      </c>
      <c r="F8" s="19" t="inlineStr">
        <is>
          <t>Check that link "99 + Santri aktif Tsanawiyyah " has attribute href containing "href"</t>
        </is>
      </c>
      <c r="G8" s="8" t="inlineStr">
        <is>
          <t>buka L007</t>
        </is>
      </c>
      <c r="H8" s="9" t="n"/>
      <c r="I8" s="9" t="n"/>
      <c r="J8" s="9" t="n"/>
      <c r="K8" s="9" t="n"/>
    </row>
    <row r="9" ht="60" customHeight="1" s="14">
      <c r="A9" s="19" t="inlineStr">
        <is>
          <t>L008</t>
        </is>
      </c>
      <c r="B9" s="19" t="inlineStr">
        <is>
          <t>Submitting an empty login form is rejected.</t>
        </is>
      </c>
      <c r="C9" s="19" t="inlineStr">
        <is>
          <t>1. Remains on /login
2. Browser or server validation shown</t>
        </is>
      </c>
      <c r="D9" s="19" t="inlineStr">
        <is>
          <t>http://127.0.0.1:8000/login</t>
        </is>
      </c>
      <c r="E9" s="19" t="inlineStr">
        <is>
          <t>SIMASIS - Sistem Manajemen Pesantren Persis 27</t>
        </is>
      </c>
      <c r="F9" s="19" t="inlineStr">
        <is>
          <t>Check that textbox "Email atau Username" has attribute placeholder containing "placeholder"</t>
        </is>
      </c>
      <c r="G9" s="8" t="inlineStr">
        <is>
          <t>buka L008</t>
        </is>
      </c>
      <c r="H9" s="9" t="n"/>
      <c r="I9" s="9" t="n"/>
      <c r="J9" s="9" t="n"/>
      <c r="K9" s="9" t="n"/>
    </row>
    <row r="10" ht="60" customHeight="1" s="14">
      <c r="A10" s="19" t="inlineStr">
        <is>
          <t>L009</t>
        </is>
      </c>
      <c r="B10" s="19" t="inlineStr">
        <is>
          <t>A visitor reaches a page by opening a dropdown menu and clicking an item.</t>
        </is>
      </c>
      <c r="C10" s="19" t="inlineStr">
        <is>
          <t>1. Dropdown item becomes visible
2. URL ends with the item's path
3. Destination shows a heading</t>
        </is>
      </c>
      <c r="D10" s="19" t="inlineStr">
        <is>
          <t>http://127.0.0.1:8000/</t>
        </is>
      </c>
      <c r="E10" s="19" t="inlineStr">
        <is>
          <t>Portal Pesantren PERSIS 27 Situaksan</t>
        </is>
      </c>
      <c r="F10" s="19" t="inlineStr">
        <is>
          <t>Check that link "SIMASIS" has attribute href containing "#"</t>
        </is>
      </c>
      <c r="G10" s="8" t="inlineStr">
        <is>
          <t>buka L009</t>
        </is>
      </c>
      <c r="H10" s="9" t="n"/>
      <c r="I10" s="9" t="n"/>
      <c r="J10" s="9" t="n"/>
      <c r="K10" s="9" t="n"/>
    </row>
    <row r="11" ht="60" customHeight="1" s="14">
      <c r="A11" s="19" t="inlineStr">
        <is>
          <t>L010</t>
        </is>
      </c>
      <c r="B11" s="19" t="inlineStr">
        <is>
          <t>A visitor expands an FAQ question.</t>
        </is>
      </c>
      <c r="C11" s="19" t="inlineStr">
        <is>
          <t>1. The corresponding answer is visible</t>
        </is>
      </c>
      <c r="D11" s="19" t="inlineStr">
        <is>
          <t>http://127.0.0.1:8000/</t>
        </is>
      </c>
      <c r="E11" s="19" t="inlineStr">
        <is>
          <t>Portal Pesantren PERSIS 27 Situaksan</t>
        </is>
      </c>
      <c r="F11" s="19" t="inlineStr">
        <is>
          <t>Check that button "Bagaimana syarat masuk PPI 27?" has attribute aria-expanded containing "aria-expanded"</t>
        </is>
      </c>
      <c r="G11" s="8" t="inlineStr">
        <is>
          <t>buka L010</t>
        </is>
      </c>
      <c r="H11" s="9" t="n"/>
      <c r="I11" s="9" t="n"/>
      <c r="J11" s="9" t="n"/>
      <c r="K11" s="9" t="n"/>
    </row>
    <row r="12" ht="60" customHeight="1" s="14">
      <c r="A12" s="19" t="inlineStr">
        <is>
          <t>L011</t>
        </is>
      </c>
      <c r="B12" s="19" t="inlineStr">
        <is>
          <t>The SIMASIS login form is complete and accessible.</t>
        </is>
      </c>
      <c r="C12" s="19" t="inlineStr">
        <is>
          <t>1. Username and password inputs are reachable by accessible name/placeholder
2. Password input masks text
3. Submit enabled
4. CSRF token present</t>
        </is>
      </c>
      <c r="D12" s="19" t="inlineStr">
        <is>
          <t>http://127.0.0.1:8000/login</t>
        </is>
      </c>
      <c r="E12" s="19" t="inlineStr">
        <is>
          <t>SIMASIS - Sistem Manajemen Pesantren Persis 27</t>
        </is>
      </c>
      <c r="F12" s="19" t="inlineStr">
        <is>
          <t>Check that textbox "Email atau Username" has attribute placeholder containing "placeholder"</t>
        </is>
      </c>
      <c r="G12" s="8" t="inlineStr">
        <is>
          <t>buka L011</t>
        </is>
      </c>
      <c r="H12" s="9" t="n"/>
      <c r="I12" s="9" t="n"/>
      <c r="J12" s="9" t="n"/>
      <c r="K12" s="9" t="n"/>
    </row>
    <row r="13" ht="60" customHeight="1" s="14">
      <c r="A13" s="19" t="inlineStr">
        <is>
          <t>L012</t>
        </is>
      </c>
      <c r="B13" s="19" t="inlineStr">
        <is>
          <t>A visitor reaches a page by opening a dropdown menu and clicking an item.</t>
        </is>
      </c>
      <c r="C13" s="19" t="inlineStr">
        <is>
          <t>1. Dropdown item becomes visible
2. URL ends with the item's path
3. Destination shows a heading</t>
        </is>
      </c>
      <c r="D13" s="19" t="inlineStr">
        <is>
          <t>http://127.0.0.1:8000/</t>
        </is>
      </c>
      <c r="E13" s="19" t="inlineStr">
        <is>
          <t>Portal Pesantren PERSIS 27 Situaksan</t>
        </is>
      </c>
      <c r="F13" s="19" t="inlineStr">
        <is>
          <t>Check that link "Info PSB" has attribute href containing "href"</t>
        </is>
      </c>
      <c r="G13" s="8" t="inlineStr">
        <is>
          <t>buka L012</t>
        </is>
      </c>
      <c r="H13" s="9" t="n"/>
      <c r="I13" s="9" t="n"/>
      <c r="J13" s="9" t="n"/>
      <c r="K13" s="9" t="n"/>
    </row>
    <row r="14" ht="60" customHeight="1" s="14">
      <c r="A14" s="19" t="inlineStr">
        <is>
          <t>L013</t>
        </is>
      </c>
      <c r="B14" s="19" t="inlineStr">
        <is>
          <t>Statistic links (alumni, santri per jenjang) lead to valid targets.</t>
        </is>
      </c>
      <c r="C14" s="19" t="inlineStr">
        <is>
          <t>1. Alumni page returns &lt; 400
2. Anchors #tsanawiyyah and #muallimin exist on the santri page</t>
        </is>
      </c>
      <c r="D14" s="19" t="inlineStr">
        <is>
          <t>http://127.0.0.1:8000/</t>
        </is>
      </c>
      <c r="E14" s="19" t="inlineStr">
        <is>
          <t>Portal Pesantren PERSIS 27 Situaksan</t>
        </is>
      </c>
      <c r="F14" s="19" t="inlineStr">
        <is>
          <t>Check that link "364 + Alumni tersebar di nusantara " has attribute href containing "http://127.0.0.1:8000/portal/halaman/alumni"</t>
        </is>
      </c>
      <c r="G14" s="8" t="inlineStr">
        <is>
          <t>buka L013</t>
        </is>
      </c>
      <c r="H14" s="9" t="n"/>
      <c r="I14" s="9" t="n"/>
      <c r="J14" s="9" t="n"/>
      <c r="K14" s="9" t="n"/>
    </row>
    <row r="15" ht="60" customHeight="1" s="14">
      <c r="A15" s="19" t="inlineStr">
        <is>
          <t>L014</t>
        </is>
      </c>
      <c r="B15" s="19" t="inlineStr">
        <is>
          <t>A visitor browses the news list and moves to page 2.</t>
        </is>
      </c>
      <c r="C15" s="19" t="inlineStr">
        <is>
          <t>1. Page 1 shows at least one card
2. Page 2 shows cards not shown on page 1</t>
        </is>
      </c>
      <c r="D15" s="19" t="inlineStr">
        <is>
          <t>http://127.0.0.1:8000/portal/berita</t>
        </is>
      </c>
      <c r="E15" s="19" t="inlineStr">
        <is>
          <t>Berita Terbaru - Portal Pesantren PERSIS 27</t>
        </is>
      </c>
      <c r="F15" s="19" t="inlineStr">
        <is>
          <t>Check that link "2" has attribute href containing "http://127.0.0.1:8000/portal/berita?page=2"</t>
        </is>
      </c>
      <c r="G15" s="8" t="inlineStr">
        <is>
          <t>buka L014</t>
        </is>
      </c>
      <c r="H15" s="9" t="n"/>
      <c r="I15" s="9" t="n"/>
      <c r="J15" s="9" t="n"/>
      <c r="K15" s="9" t="n"/>
    </row>
    <row r="16" ht="60" customHeight="1" s="14">
      <c r="A16" s="19" t="inlineStr">
        <is>
          <t>L015</t>
        </is>
      </c>
      <c r="B16" s="19" t="inlineStr">
        <is>
          <t>Related articles exclude the article being read.</t>
        </is>
      </c>
      <c r="C16" s="19" t="inlineStr">
        <is>
          <t>1. Related list is non-empty
2. Current URL not in related list</t>
        </is>
      </c>
      <c r="D16" s="19" t="inlineStr">
        <is>
          <t>http://127.0.0.1:8000/portal/jihad-istimewa-pelepasan-jamaah-haji-2026</t>
        </is>
      </c>
      <c r="E16" s="19" t="inlineStr">
        <is>
          <t>JIHAD ISTIMEWA &amp; PELEPASAN JAMA’AH HAJI 2026 - Pesantren Persis 27</t>
        </is>
      </c>
      <c r="F16" s="19" t="inlineStr">
        <is>
          <t>Check that link "SILATURAHMI ORANG TUA SANTRI BARU TA. 2026-2027" has attribute href containing "http://127.0.0.1:8000/portal/silaturahmi-orang-tua-santri-baru-ta-2026-2027"</t>
        </is>
      </c>
      <c r="G16" s="8" t="inlineStr">
        <is>
          <t>buka L015</t>
        </is>
      </c>
      <c r="H16" s="9" t="n"/>
      <c r="I16" s="9" t="n"/>
      <c r="J16" s="9" t="n"/>
      <c r="K16" s="9" t="n"/>
    </row>
    <row r="17" ht="60" customHeight="1" s="14">
      <c r="A17" s="19" t="inlineStr">
        <is>
          <t>L016</t>
        </is>
      </c>
      <c r="B17" s="19" t="inlineStr">
        <is>
          <t>Opening an article from the list shows consistent data.</t>
        </is>
      </c>
      <c r="C17" s="19" t="inlineStr">
        <is>
          <t>1. URL equals card href
2. H1 equals card title
3. Publication date equals card date</t>
        </is>
      </c>
      <c r="D17" s="19" t="inlineStr">
        <is>
          <t>http://127.0.0.1:8000/portal/berita</t>
        </is>
      </c>
      <c r="E17" s="19" t="inlineStr">
        <is>
          <t>Berita Terbaru - Portal Pesantren PERSIS 27</t>
        </is>
      </c>
      <c r="F17" s="19" t="inlineStr">
        <is>
          <t>Check that link "SILATURAHMI ORANG TUA SANTRI BARU TA. 2026-2027" has attribute href containing "http://127.0.0.1:8000/portal/silaturahmi-orang-tua-santri-baru-ta-2026-2027"</t>
        </is>
      </c>
      <c r="G17" s="8" t="inlineStr">
        <is>
          <t>buka L016</t>
        </is>
      </c>
      <c r="H17" s="9" t="n"/>
      <c r="I17" s="9" t="n"/>
      <c r="J17" s="9" t="n"/>
      <c r="K17" s="9" t="n"/>
    </row>
    <row r="18" ht="60" customHeight="1" s="14">
      <c r="A18" s="19" t="inlineStr">
        <is>
          <t>L017</t>
        </is>
      </c>
      <c r="B18" s="19" t="inlineStr">
        <is>
          <t>A visitor opens the first latest-news item from the home page.</t>
        </is>
      </c>
      <c r="C18" s="19" t="inlineStr">
        <is>
          <t>1. Article H1 equals the card title</t>
        </is>
      </c>
      <c r="D18" s="19" t="inlineStr">
        <is>
          <t>http://127.0.0.1:8000/</t>
        </is>
      </c>
      <c r="E18" s="19" t="inlineStr">
        <is>
          <t>Portal Pesantren PERSIS 27 Situaksan</t>
        </is>
      </c>
      <c r="F18" s="19" t="inlineStr">
        <is>
          <t>Check that link "Lihat Semua" has attribute href containing "href"</t>
        </is>
      </c>
      <c r="G18" s="8" t="inlineStr">
        <is>
          <t>buka L017</t>
        </is>
      </c>
      <c r="H18" s="9" t="n"/>
      <c r="I18" s="9" t="n"/>
      <c r="J18" s="9" t="n"/>
      <c r="K18" s="9" t="n"/>
    </row>
    <row r="19" ht="60" customHeight="1" s="14">
      <c r="A19" s="19" t="inlineStr">
        <is>
          <t>L018</t>
        </is>
      </c>
      <c r="B19" s="19" t="inlineStr">
        <is>
          <t>Submitting an empty login form is rejected.</t>
        </is>
      </c>
      <c r="C19" s="19" t="inlineStr">
        <is>
          <t>1. Remains on /login
2. Browser or server validation shown</t>
        </is>
      </c>
      <c r="D19" s="19" t="inlineStr">
        <is>
          <t>http://127.0.0.1:8000/login</t>
        </is>
      </c>
      <c r="E19" s="19" t="inlineStr">
        <is>
          <t>SIMASIS - Sistem Manajemen Pesantren Persis 27</t>
        </is>
      </c>
      <c r="F19" s="19" t="inlineStr">
        <is>
          <t>Check that textbox "Email atau Username" has attribute value containing ""</t>
        </is>
      </c>
      <c r="G19" s="8" t="inlineStr">
        <is>
          <t>buka L018</t>
        </is>
      </c>
      <c r="H19" s="9" t="n"/>
      <c r="I19" s="9" t="n"/>
      <c r="J19" s="9" t="n"/>
      <c r="K19" s="9" t="n"/>
    </row>
    <row r="20" ht="60" customHeight="1" s="14">
      <c r="A20" s="19" t="inlineStr">
        <is>
          <t>L019</t>
        </is>
      </c>
      <c r="B20" s="19" t="inlineStr">
        <is>
          <t>The SIMASIS login form is complete and accessible.</t>
        </is>
      </c>
      <c r="C20" s="19" t="inlineStr">
        <is>
          <t>1. Username and password inputs are reachable by accessible name/placeholder
2. Password input masks text
3. Submit enabled
4. CSRF token present</t>
        </is>
      </c>
      <c r="D20" s="19" t="inlineStr">
        <is>
          <t>http://127.0.0.1:8000/login</t>
        </is>
      </c>
      <c r="E20" s="19" t="inlineStr">
        <is>
          <t>SIMASIS - Sistem Manajemen Pesantren Persis 27</t>
        </is>
      </c>
      <c r="F20" s="19" t="inlineStr">
        <is>
          <t>Check that textbox "Email atau Username" has attribute placeholder containing "placeholder"</t>
        </is>
      </c>
      <c r="G20" s="8" t="inlineStr">
        <is>
          <t>buka L019</t>
        </is>
      </c>
      <c r="H20" s="9" t="n"/>
      <c r="I20" s="9" t="n"/>
      <c r="J20" s="9" t="n"/>
      <c r="K20" s="9" t="n"/>
    </row>
    <row r="21" ht="60" customHeight="1" s="14">
      <c r="A21" s="19" t="inlineStr">
        <is>
          <t>L020</t>
        </is>
      </c>
      <c r="B21" s="19" t="inlineStr">
        <is>
          <t>A visitor opens a student article from the list.</t>
        </is>
      </c>
      <c r="C21" s="19" t="inlineStr">
        <is>
          <t>1. Article H1 equals the card title</t>
        </is>
      </c>
      <c r="D21" s="19" t="inlineStr">
        <is>
          <t>http://127.0.0.1:8000/portal/artikel</t>
        </is>
      </c>
      <c r="E21" s="19" t="inlineStr">
        <is>
          <t>Artikel Santri - Portal Pesantren PERSIS 27</t>
        </is>
      </c>
      <c r="F21" s="19" t="inlineStr">
        <is>
          <t>Check that link "Menata Amal Shalih dalam Skala Prioritas" has attribute href containing "http://127.0.0.1:8000/portal/menata-amal-shalih-dalam-skala-prioritas"</t>
        </is>
      </c>
      <c r="G21" s="8" t="inlineStr">
        <is>
          <t>buka L020</t>
        </is>
      </c>
      <c r="H21" s="9" t="n"/>
      <c r="I21" s="9" t="n"/>
      <c r="J21" s="9" t="n"/>
      <c r="K21" s="9" t="n"/>
    </row>
    <row r="22" ht="60" customHeight="1" s="14">
      <c r="A22" s="19" t="inlineStr">
        <is>
          <t>L021</t>
        </is>
      </c>
      <c r="B22" s="19" t="inlineStr">
        <is>
          <t>Each featured-program card opens a modal with the matching title that can be closed.</t>
        </is>
      </c>
      <c r="C22" s="19" t="inlineStr">
        <is>
          <t>1. Five 'Selengkapnya' controls
2. Modal title matches the card
3. 'Tutup' hides the modal</t>
        </is>
      </c>
      <c r="D22" s="19" t="inlineStr">
        <is>
          <t>http://127.0.0.1:8000/</t>
        </is>
      </c>
      <c r="E22" s="19" t="inlineStr">
        <is>
          <t>Portal Pesantren PERSIS 27 Situaksan</t>
        </is>
      </c>
      <c r="F22" s="19" t="inlineStr">
        <is>
          <t>Check that button "Selengkapnya" has attribute href containing "href"</t>
        </is>
      </c>
      <c r="G22" s="8" t="inlineStr">
        <is>
          <t>buka L021</t>
        </is>
      </c>
      <c r="H22" s="9" t="n"/>
      <c r="I22" s="9" t="n"/>
      <c r="J22" s="9" t="n"/>
      <c r="K22" s="9" t="n"/>
    </row>
    <row r="23" ht="60" customHeight="1" s="14">
      <c r="A23" s="19" t="inlineStr">
        <is>
          <t>L022</t>
        </is>
      </c>
      <c r="B23" s="19" t="inlineStr">
        <is>
          <t>A visitor opens the portal home page.</t>
        </is>
      </c>
      <c r="C23" s="19" t="inlineStr">
        <is>
          <t>1. HTTP status &lt; 400
2. Page title contains 'Pesantren PERSIS 27'
3. Main heading contains 'Tafaqquh Fid Din'</t>
        </is>
      </c>
      <c r="D23" s="19" t="inlineStr">
        <is>
          <t>http://127.0.0.1:8000/</t>
        </is>
      </c>
      <c r="E23" s="19" t="inlineStr">
        <is>
          <t>Portal Pesantren PERSIS 27 Situaksan</t>
        </is>
      </c>
      <c r="F23" s="19" t="inlineStr">
        <is>
          <t>Check that link "Daftar PSB " has attribute href containing "https://psb.pesantrenpersis27.com"</t>
        </is>
      </c>
      <c r="G23" s="8" t="inlineStr">
        <is>
          <t>buka L022</t>
        </is>
      </c>
      <c r="H23" s="9" t="n"/>
      <c r="I23" s="9" t="n"/>
      <c r="J23" s="9" t="n"/>
      <c r="K23" s="9" t="n"/>
    </row>
    <row r="24" ht="60" customHeight="1" s="14">
      <c r="A24" s="19" t="inlineStr">
        <is>
          <t>L023</t>
        </is>
      </c>
      <c r="B24" s="19" t="inlineStr">
        <is>
          <t>A visitor opens the first latest-news item from the home page.</t>
        </is>
      </c>
      <c r="C24" s="19" t="inlineStr">
        <is>
          <t>1. Article H1 equals the card title</t>
        </is>
      </c>
      <c r="D24" s="19" t="inlineStr">
        <is>
          <t>http://127.0.0.1:8000/</t>
        </is>
      </c>
      <c r="E24" s="19" t="inlineStr">
        <is>
          <t>Portal Pesantren PERSIS 27 Situaksan</t>
        </is>
      </c>
      <c r="F24" s="19" t="inlineStr">
        <is>
          <t>Check that link "Lihat Semua" has attribute href containing "href"</t>
        </is>
      </c>
      <c r="G24" s="8" t="inlineStr">
        <is>
          <t>buka L023</t>
        </is>
      </c>
      <c r="H24" s="9" t="n"/>
      <c r="I24" s="9" t="n"/>
      <c r="J24" s="9" t="n"/>
      <c r="K24" s="9" t="n"/>
    </row>
    <row r="25" ht="60" customHeight="1" s="14">
      <c r="A25" s="19" t="inlineStr">
        <is>
          <t>L024</t>
        </is>
      </c>
      <c r="B25" s="19" t="inlineStr">
        <is>
          <t>Statistic links (alumni, santri per jenjang) lead to valid targets.</t>
        </is>
      </c>
      <c r="C25" s="19" t="inlineStr">
        <is>
          <t>1. Alumni page returns &lt; 400
2. Anchors #tsanawiyyah and #muallimin exist on the santri page</t>
        </is>
      </c>
      <c r="D25" s="19" t="inlineStr">
        <is>
          <t>http://127.0.0.1:8000/</t>
        </is>
      </c>
      <c r="E25" s="19" t="inlineStr">
        <is>
          <t>Portal Pesantren PERSIS 27 Situaksan</t>
        </is>
      </c>
      <c r="F25" s="19" t="inlineStr">
        <is>
          <t>Check that link "99 + Santri aktif Tsanawiyyah" has attribute href containing "href"</t>
        </is>
      </c>
      <c r="G25" s="8" t="inlineStr">
        <is>
          <t>buka L024</t>
        </is>
      </c>
      <c r="H25" s="9" t="n"/>
      <c r="I25" s="9" t="n"/>
      <c r="J25" s="9" t="n"/>
      <c r="K25" s="9" t="n"/>
    </row>
    <row r="26" ht="60" customHeight="1" s="14">
      <c r="A26" s="19" t="inlineStr">
        <is>
          <t>L025</t>
        </is>
      </c>
      <c r="B26" s="19" t="inlineStr">
        <is>
          <t>A visitor opens the first latest-news item from the home page.</t>
        </is>
      </c>
      <c r="C26" s="19" t="inlineStr">
        <is>
          <t>1. Article H1 equals the card title</t>
        </is>
      </c>
      <c r="D26" s="19" t="inlineStr">
        <is>
          <t>http://127.0.0.1:8000/</t>
        </is>
      </c>
      <c r="E26" s="19" t="inlineStr">
        <is>
          <t>Portal Pesantren PERSIS 27 Situaksan</t>
        </is>
      </c>
      <c r="F26" s="19" t="inlineStr">
        <is>
          <t>Check that link "Info Terbaru" has attribute href containing "http://127.0.0.1:8000/portal/berita"</t>
        </is>
      </c>
      <c r="G26" s="8" t="inlineStr">
        <is>
          <t>buka L025</t>
        </is>
      </c>
      <c r="H26" s="9" t="n"/>
      <c r="I26" s="9" t="n"/>
      <c r="J26" s="9" t="n"/>
      <c r="K26" s="9" t="n"/>
    </row>
    <row r="27" ht="60" customHeight="1" s="14">
      <c r="A27" s="19" t="inlineStr">
        <is>
          <t>L026</t>
        </is>
      </c>
      <c r="B27" s="19" t="inlineStr">
        <is>
          <t>A visitor reaches a page by opening a dropdown menu and clicking an item.</t>
        </is>
      </c>
      <c r="C27" s="19" t="inlineStr">
        <is>
          <t>1. Dropdown item becomes visible
2. URL ends with the item's path
3. Destination shows a heading</t>
        </is>
      </c>
      <c r="D27" s="19" t="inlineStr">
        <is>
          <t>http://127.0.0.1:8000/</t>
        </is>
      </c>
      <c r="E27" s="19" t="inlineStr">
        <is>
          <t>Portal Pesantren PERSIS 27 Situaksan</t>
        </is>
      </c>
      <c r="F27" s="19" t="inlineStr">
        <is>
          <t>Check that link "INFO PSB" has attribute href containing "href"</t>
        </is>
      </c>
      <c r="G27" s="8" t="inlineStr">
        <is>
          <t>buka L026</t>
        </is>
      </c>
      <c r="H27" s="9" t="n"/>
      <c r="I27" s="9" t="n"/>
      <c r="J27" s="9" t="n"/>
      <c r="K27" s="9" t="n"/>
    </row>
    <row r="28" ht="60" customHeight="1" s="14">
      <c r="A28" s="19" t="inlineStr">
        <is>
          <t>L027</t>
        </is>
      </c>
      <c r="B28" s="19" t="inlineStr">
        <is>
          <t>Opening an article from the list shows consistent data.</t>
        </is>
      </c>
      <c r="C28" s="19" t="inlineStr">
        <is>
          <t>1. URL equals card href
2. H1 equals card title
3. Publication date equals card date</t>
        </is>
      </c>
      <c r="D28" s="19" t="inlineStr">
        <is>
          <t>http://127.0.0.1:8000/portal/berita</t>
        </is>
      </c>
      <c r="E28" s="19" t="inlineStr">
        <is>
          <t>Berita Terbaru - Portal Pesantren PERSIS 27</t>
        </is>
      </c>
      <c r="F28" s="19" t="inlineStr">
        <is>
          <t>Check that link "SILATURAHMI ORANG TUA SANTRI BARU TA. 2026-2027" has attribute href containing "http://127.0.0.1:8000/portal/silaturahmi-orang-tua-santri-baru-ta-2026-2027"</t>
        </is>
      </c>
      <c r="G28" s="8" t="inlineStr">
        <is>
          <t>buka L027</t>
        </is>
      </c>
      <c r="H28" s="9" t="n"/>
      <c r="I28" s="9" t="n"/>
      <c r="J28" s="9" t="n"/>
      <c r="K28" s="9" t="n"/>
    </row>
    <row r="29" ht="60" customHeight="1" s="14">
      <c r="A29" s="19" t="inlineStr">
        <is>
          <t>L028</t>
        </is>
      </c>
      <c r="B29" s="19" t="inlineStr">
        <is>
          <t>Breadcrumb and share links refer to the current article.</t>
        </is>
      </c>
      <c r="C29" s="19" t="inlineStr">
        <is>
          <t>1. Breadcrumb has Beranda and Berita
2. WhatsApp/Facebook/Twitter links contain the article URL</t>
        </is>
      </c>
      <c r="D29" s="19" t="inlineStr">
        <is>
          <t>http://127.0.0.1:8000/portal/jihad-istimewa-pelepasan-jamaah-haji-2026</t>
        </is>
      </c>
      <c r="E29" s="19" t="inlineStr">
        <is>
          <t>JIHAD ISTIMEWA &amp; PELEPASAN JAMA’AH HAJI 2026 - Pesantren Persis 27</t>
        </is>
      </c>
      <c r="F29" s="19" t="inlineStr">
        <is>
          <t>Check that link "WhatsApp" has attribute href containing "https://wa.me/?text=JIHAD+ISTIMEWA+%26+PELEPASAN+JAMA%E2%80%99AH+HAJI+2026+http%3A%2F%2F127.0.0.1%3A8000%2Fportal%2Fjihad-istimewa-pelepasan-jamaah-haji-2026"</t>
        </is>
      </c>
      <c r="G29" s="8" t="inlineStr">
        <is>
          <t>buka L028</t>
        </is>
      </c>
      <c r="H29" s="9" t="n"/>
      <c r="I29" s="9" t="n"/>
      <c r="J29" s="9" t="n"/>
      <c r="K29" s="9" t="n"/>
    </row>
    <row r="30" ht="60" customHeight="1" s="14">
      <c r="A30" s="19" t="inlineStr">
        <is>
          <t>L029</t>
        </is>
      </c>
      <c r="B30" s="19" t="inlineStr">
        <is>
          <t>A visitor opens the portal home page.</t>
        </is>
      </c>
      <c r="C30" s="19" t="inlineStr">
        <is>
          <t>1. HTTP status &lt; 400
2. Page title contains 'Pesantren PERSIS 27'
3. Main heading contains 'Tafaqquh Fid Din'</t>
        </is>
      </c>
      <c r="D30" s="19" t="inlineStr">
        <is>
          <t>http://127.0.0.1:8000/</t>
        </is>
      </c>
      <c r="E30" s="19" t="inlineStr">
        <is>
          <t>Portal Pesantren PERSIS 27 Situaksan</t>
        </is>
      </c>
      <c r="F30" s="19" t="inlineStr">
        <is>
          <t>Check that link "Portal Pesantren PERSIS 27 Situaksan" has attribute href containing "http://127.0.0.1:8000/portal"</t>
        </is>
      </c>
      <c r="G30" s="8" t="inlineStr">
        <is>
          <t>buka L029</t>
        </is>
      </c>
      <c r="H30" s="9" t="n"/>
      <c r="I30" s="9" t="n"/>
      <c r="J30" s="9" t="n"/>
      <c r="K30" s="9" t="n"/>
    </row>
    <row r="31" ht="60" customHeight="1" s="14">
      <c r="A31" s="19" t="inlineStr">
        <is>
          <t>L030</t>
        </is>
      </c>
      <c r="B31" s="19" t="inlineStr">
        <is>
          <t>Opening an article from the list shows consistent data.</t>
        </is>
      </c>
      <c r="C31" s="19" t="inlineStr">
        <is>
          <t>1. URL equals card href
2. H1 equals card title
3. Publication date equals card date</t>
        </is>
      </c>
      <c r="D31" s="19" t="inlineStr">
        <is>
          <t>http://127.0.0.1:8000/portal/berita</t>
        </is>
      </c>
      <c r="E31" s="19" t="inlineStr">
        <is>
          <t>Berita Terbaru - Portal Pesantren PERSIS 27</t>
        </is>
      </c>
      <c r="F31" s="19" t="inlineStr">
        <is>
          <t>Check that link "SILATURAHMI ORANG TUA SANTRI BARU TA. 2026-2027" has attribute href containing "http://127.0.0.1:8000/portal/silaturahmi-orang-tua-santri-baru-ta-2026-2027"</t>
        </is>
      </c>
      <c r="G31" s="8" t="inlineStr">
        <is>
          <t>buka L030</t>
        </is>
      </c>
      <c r="H31" s="9" t="n"/>
      <c r="I31" s="9" t="n"/>
      <c r="J31" s="9" t="n"/>
      <c r="K31" s="9" t="n"/>
    </row>
    <row r="32" ht="60" customHeight="1" s="14">
      <c r="A32" s="19" t="inlineStr">
        <is>
          <t>L031</t>
        </is>
      </c>
      <c r="B32" s="19" t="inlineStr">
        <is>
          <t>A visitor reaches a page by opening a dropdown menu and clicking an item.</t>
        </is>
      </c>
      <c r="C32" s="19" t="inlineStr">
        <is>
          <t>1. Dropdown item becomes visible
2. URL ends with the item's path
3. Destination shows a heading</t>
        </is>
      </c>
      <c r="D32" s="19" t="inlineStr">
        <is>
          <t>http://127.0.0.1:8000/</t>
        </is>
      </c>
      <c r="E32" s="19" t="inlineStr">
        <is>
          <t>Portal Pesantren PERSIS 27 Situaksan</t>
        </is>
      </c>
      <c r="F32" s="19" t="inlineStr">
        <is>
          <t>Check that link "INFO PSB" has attribute href containing "href"</t>
        </is>
      </c>
      <c r="G32" s="8" t="inlineStr">
        <is>
          <t>buka L031</t>
        </is>
      </c>
      <c r="H32" s="9" t="n"/>
      <c r="I32" s="9" t="n"/>
      <c r="J32" s="9" t="n"/>
      <c r="K32" s="9" t="n"/>
    </row>
    <row r="33" ht="60" customHeight="1" s="14">
      <c r="A33" s="19" t="inlineStr">
        <is>
          <t>L032</t>
        </is>
      </c>
      <c r="B33" s="19" t="inlineStr">
        <is>
          <t>Each featured-program card opens a modal with the matching title that can be closed.</t>
        </is>
      </c>
      <c r="C33" s="19" t="inlineStr">
        <is>
          <t>1. Five 'Selengkapnya' controls
2. Modal title matches the card
3. 'Tutup' hides the modal</t>
        </is>
      </c>
      <c r="D33" s="19" t="inlineStr">
        <is>
          <t>http://127.0.0.1:8000/</t>
        </is>
      </c>
      <c r="E33" s="19" t="inlineStr">
        <is>
          <t>Portal Pesantren PERSIS 27 Situaksan</t>
        </is>
      </c>
      <c r="F33" s="19" t="inlineStr">
        <is>
          <t>Check that link "Transaksi Pembelian Tanah 140 m² untuk Perluasan Pesantren PERSIS 27 Situaksan" has attribute href containing "href"</t>
        </is>
      </c>
      <c r="G33" s="8" t="inlineStr">
        <is>
          <t>buka L032</t>
        </is>
      </c>
      <c r="H33" s="9" t="n"/>
      <c r="I33" s="9" t="n"/>
      <c r="J33" s="9" t="n"/>
      <c r="K33" s="9" t="n"/>
    </row>
    <row r="34" ht="60" customHeight="1" s="14">
      <c r="A34" s="19" t="inlineStr">
        <is>
          <t>L033</t>
        </is>
      </c>
      <c r="B34" s="19" t="inlineStr">
        <is>
          <t>Related articles exclude the article being read.</t>
        </is>
      </c>
      <c r="C34" s="19" t="inlineStr">
        <is>
          <t>1. Related list is non-empty
2. Current URL not in related list</t>
        </is>
      </c>
      <c r="D34" s="19" t="inlineStr">
        <is>
          <t>http://127.0.0.1:8000/portal/jihad-istimewa-pelepasan-jamaah-haji-2026</t>
        </is>
      </c>
      <c r="E34" s="19" t="inlineStr">
        <is>
          <t>JIHAD ISTIMEWA &amp; PELEPASAN JAMA’AH HAJI 2026 - Pesantren Persis 27</t>
        </is>
      </c>
      <c r="F34" s="19" t="inlineStr">
        <is>
          <t>Check that heading "Artikel Terkait" is visible</t>
        </is>
      </c>
      <c r="G34" s="8" t="inlineStr">
        <is>
          <t>buka L033</t>
        </is>
      </c>
      <c r="H34" s="9" t="n"/>
      <c r="I34" s="9" t="n"/>
      <c r="J34" s="9" t="n"/>
      <c r="K34" s="9" t="n"/>
    </row>
    <row r="35" ht="60" customHeight="1" s="14">
      <c r="A35" s="19" t="inlineStr">
        <is>
          <t>L034</t>
        </is>
      </c>
      <c r="B35" s="19" t="inlineStr">
        <is>
          <t>Each featured-program card opens a modal with the matching title that can be closed.</t>
        </is>
      </c>
      <c r="C35" s="19" t="inlineStr">
        <is>
          <t>1. Five 'Selengkapnya' controls
2. Modal title matches the card
3. 'Tutup' hides the modal</t>
        </is>
      </c>
      <c r="D35" s="19" t="inlineStr">
        <is>
          <t>http://127.0.0.1:8000/</t>
        </is>
      </c>
      <c r="E35" s="19" t="inlineStr">
        <is>
          <t>Portal Pesantren PERSIS 27 Situaksan</t>
        </is>
      </c>
      <c r="F35" s="19" t="inlineStr">
        <is>
          <t>Click button "Selengkapnya"</t>
        </is>
      </c>
      <c r="G35" s="8" t="inlineStr">
        <is>
          <t>buka L034</t>
        </is>
      </c>
      <c r="H35" s="9" t="n"/>
      <c r="I35" s="9" t="n"/>
      <c r="J35" s="9" t="n"/>
      <c r="K35" s="9" t="n"/>
    </row>
    <row r="36" ht="60" customHeight="1" s="14">
      <c r="A36" s="19" t="inlineStr">
        <is>
          <t>L035</t>
        </is>
      </c>
      <c r="B36" s="19" t="inlineStr">
        <is>
          <t>A visitor reaches a page by opening a dropdown menu and clicking an item.</t>
        </is>
      </c>
      <c r="C36" s="19" t="inlineStr">
        <is>
          <t>1. Dropdown item becomes visible
2. URL ends with the item's path
3. Destination shows a heading</t>
        </is>
      </c>
      <c r="D36" s="19" t="inlineStr">
        <is>
          <t>http://127.0.0.1:8000/</t>
        </is>
      </c>
      <c r="E36" s="19" t="inlineStr">
        <is>
          <t>Portal Pesantren PERSIS 27 Situaksan</t>
        </is>
      </c>
      <c r="F36" s="19" t="inlineStr">
        <is>
          <t>Check that link "INFO PSB" has attribute href containing "href"</t>
        </is>
      </c>
      <c r="G36" s="8" t="inlineStr">
        <is>
          <t>buka L035</t>
        </is>
      </c>
      <c r="H36" s="9" t="n"/>
      <c r="I36" s="9" t="n"/>
      <c r="J36" s="9" t="n"/>
      <c r="K36" s="9" t="n"/>
    </row>
    <row r="37" ht="60" customHeight="1" s="14">
      <c r="A37" s="19" t="inlineStr">
        <is>
          <t>L036</t>
        </is>
      </c>
      <c r="B37" s="19" t="inlineStr">
        <is>
          <t>Invalid credentials are rejected with a clear message.</t>
        </is>
      </c>
      <c r="C37" s="19" t="inlineStr">
        <is>
          <t>1. Remains on /login
2. Error message visible
3. Password field is cleared</t>
        </is>
      </c>
      <c r="D37" s="19" t="inlineStr">
        <is>
          <t>http://127.0.0.1:8000/login</t>
        </is>
      </c>
      <c r="E37" s="19" t="inlineStr">
        <is>
          <t>SIMASIS - Sistem Manajemen Pesantren Persis 27</t>
        </is>
      </c>
      <c r="F37" s="19" t="inlineStr">
        <is>
          <t>Check that textbox "Password" has attribute value containing "clear"</t>
        </is>
      </c>
      <c r="G37" s="8" t="inlineStr">
        <is>
          <t>buka L036</t>
        </is>
      </c>
      <c r="H37" s="9" t="n"/>
      <c r="I37" s="9" t="n"/>
      <c r="J37" s="9" t="n"/>
      <c r="K37" s="9" t="n"/>
    </row>
    <row r="38" ht="60" customHeight="1" s="14">
      <c r="A38" s="19" t="inlineStr">
        <is>
          <t>L037</t>
        </is>
      </c>
      <c r="B38" s="19" t="inlineStr">
        <is>
          <t>A visitor opens the first latest-news item from the home page.</t>
        </is>
      </c>
      <c r="C38" s="19" t="inlineStr">
        <is>
          <t>1. Article H1 equals the card title</t>
        </is>
      </c>
      <c r="D38" s="19" t="inlineStr">
        <is>
          <t>http://127.0.0.1:8000/</t>
        </is>
      </c>
      <c r="E38" s="19" t="inlineStr">
        <is>
          <t>Portal Pesantren PERSIS 27 Situaksan</t>
        </is>
      </c>
      <c r="F38" s="19" t="inlineStr">
        <is>
          <t>Check that link "Info Terbaru" has attribute href containing "href"</t>
        </is>
      </c>
      <c r="G38" s="8" t="inlineStr">
        <is>
          <t>buka L037</t>
        </is>
      </c>
      <c r="H38" s="9" t="n"/>
      <c r="I38" s="9" t="n"/>
      <c r="J38" s="9" t="n"/>
      <c r="K38" s="9" t="n"/>
    </row>
    <row r="39" ht="60" customHeight="1" s="14">
      <c r="A39" s="19" t="inlineStr">
        <is>
          <t>L038</t>
        </is>
      </c>
      <c r="B39" s="19" t="inlineStr">
        <is>
          <t>A visitor opens a student article from the list.</t>
        </is>
      </c>
      <c r="C39" s="19" t="inlineStr">
        <is>
          <t>1. Article H1 equals the card title</t>
        </is>
      </c>
      <c r="D39" s="19" t="inlineStr">
        <is>
          <t>http://127.0.0.1:8000/portal/artikel</t>
        </is>
      </c>
      <c r="E39" s="19" t="inlineStr">
        <is>
          <t>Artikel Santri - Portal Pesantren PERSIS 27</t>
        </is>
      </c>
      <c r="F39" s="19" t="inlineStr">
        <is>
          <t>Check that link "Menata Amal Shalih dalam Skala Prioritas" has attribute href containing "http://127.0.0.1:8000/portal/menata-amal-shalih-dalam-skala-prioritas"</t>
        </is>
      </c>
      <c r="G39" s="8" t="inlineStr">
        <is>
          <t>buka L038</t>
        </is>
      </c>
      <c r="H39" s="9" t="n"/>
      <c r="I39" s="9" t="n"/>
      <c r="J39" s="9" t="n"/>
      <c r="K39" s="9" t="n"/>
    </row>
    <row r="40" ht="60" customHeight="1" s="14">
      <c r="A40" s="19" t="inlineStr">
        <is>
          <t>L039</t>
        </is>
      </c>
      <c r="B40" s="19" t="inlineStr">
        <is>
          <t>Each featured-program card opens a modal with the matching title that can be closed.</t>
        </is>
      </c>
      <c r="C40" s="19" t="inlineStr">
        <is>
          <t>1. Five 'Selengkapnya' controls
2. Modal title matches the card
3. 'Tutup' hides the modal</t>
        </is>
      </c>
      <c r="D40" s="19" t="inlineStr">
        <is>
          <t>http://127.0.0.1:8000/</t>
        </is>
      </c>
      <c r="E40" s="19" t="inlineStr">
        <is>
          <t>Portal Pesantren PERSIS 27 Situaksan</t>
        </is>
      </c>
      <c r="F40" s="19" t="inlineStr">
        <is>
          <t>Check that link "Panduan SIMASIS" has attribute href containing "href"</t>
        </is>
      </c>
      <c r="G40" s="8" t="inlineStr">
        <is>
          <t>buka L039</t>
        </is>
      </c>
      <c r="H40" s="9" t="n"/>
      <c r="I40" s="9" t="n"/>
      <c r="J40" s="9" t="n"/>
      <c r="K40" s="9" t="n"/>
    </row>
    <row r="41" ht="60" customHeight="1" s="14">
      <c r="A41" s="19" t="inlineStr">
        <is>
          <t>L040</t>
        </is>
      </c>
      <c r="B41" s="19" t="inlineStr">
        <is>
          <t>A visitor opens a student article from the list.</t>
        </is>
      </c>
      <c r="C41" s="19" t="inlineStr">
        <is>
          <t>1. Article H1 equals the card title</t>
        </is>
      </c>
      <c r="D41" s="19" t="inlineStr">
        <is>
          <t>http://127.0.0.1:8000/portal/artikel</t>
        </is>
      </c>
      <c r="E41" s="19" t="inlineStr">
        <is>
          <t>Artikel Santri - Portal Pesantren PERSIS 27</t>
        </is>
      </c>
      <c r="F41" s="19" t="inlineStr">
        <is>
          <t>Check that link "Menata Amal Shalih dalam Skala Prioritas" has attribute href containing "http://127.0.0.1:8000/portal/menata-amal-shalih-dalam-skala-prioritas"</t>
        </is>
      </c>
      <c r="G41" s="8" t="inlineStr">
        <is>
          <t>buka L040</t>
        </is>
      </c>
      <c r="H41" s="9" t="n"/>
      <c r="I41" s="9" t="n"/>
      <c r="J41" s="9" t="n"/>
      <c r="K41" s="9" t="n"/>
    </row>
    <row r="42" ht="60" customHeight="1" s="14">
      <c r="A42" s="19" t="inlineStr">
        <is>
          <t>L041</t>
        </is>
      </c>
      <c r="B42" s="19" t="inlineStr">
        <is>
          <t>Submitting an empty login form is rejected.</t>
        </is>
      </c>
      <c r="C42" s="19" t="inlineStr">
        <is>
          <t>1. Remains on /login
2. Browser or server validation shown</t>
        </is>
      </c>
      <c r="D42" s="19" t="inlineStr">
        <is>
          <t>http://127.0.0.1:8000/login</t>
        </is>
      </c>
      <c r="E42" s="19" t="inlineStr">
        <is>
          <t>SIMASIS - Sistem Manajemen Pesantren Persis 27</t>
        </is>
      </c>
      <c r="F42" s="19" t="inlineStr">
        <is>
          <t>Check that button " Masuk" has attribute type containing "type"</t>
        </is>
      </c>
      <c r="G42" s="8" t="inlineStr">
        <is>
          <t>buka L041</t>
        </is>
      </c>
      <c r="H42" s="9" t="n"/>
      <c r="I42" s="9" t="n"/>
      <c r="J42" s="9" t="n"/>
      <c r="K42" s="9" t="n"/>
    </row>
    <row r="43" ht="60" customHeight="1" s="14">
      <c r="A43" s="19" t="inlineStr">
        <is>
          <t>L042</t>
        </is>
      </c>
      <c r="B43" s="19" t="inlineStr">
        <is>
          <t>Invalid credentials are rejected with a clear message.</t>
        </is>
      </c>
      <c r="C43" s="19" t="inlineStr">
        <is>
          <t>1. Remains on /login
2. Error message visible
3. Password field is cleared</t>
        </is>
      </c>
      <c r="D43" s="19" t="inlineStr">
        <is>
          <t>http://127.0.0.1:8000/login</t>
        </is>
      </c>
      <c r="E43" s="19" t="inlineStr">
        <is>
          <t>SIMASIS - Sistem Manajemen Pesantren Persis 27</t>
        </is>
      </c>
      <c r="F43" s="19" t="inlineStr">
        <is>
          <t>Check that textbox "Password" has attribute placeholder containing "placeholder"</t>
        </is>
      </c>
      <c r="G43" s="8" t="inlineStr">
        <is>
          <t>buka L042</t>
        </is>
      </c>
      <c r="H43" s="9" t="n"/>
      <c r="I43" s="9" t="n"/>
      <c r="J43" s="9" t="n"/>
      <c r="K43" s="9" t="n"/>
    </row>
    <row r="44" ht="60" customHeight="1" s="14">
      <c r="A44" s="19" t="inlineStr">
        <is>
          <t>L043</t>
        </is>
      </c>
      <c r="B44" s="19" t="inlineStr">
        <is>
          <t>Breadcrumb and share links refer to the current article.</t>
        </is>
      </c>
      <c r="C44" s="19" t="inlineStr">
        <is>
          <t>1. Breadcrumb has Beranda and Berita
2. WhatsApp/Facebook/Twitter links contain the article URL</t>
        </is>
      </c>
      <c r="D44" s="19" t="inlineStr">
        <is>
          <t>http://127.0.0.1:8000/portal/jihad-istimewa-pelepasan-jamaah-haji-2026</t>
        </is>
      </c>
      <c r="E44" s="19" t="inlineStr">
        <is>
          <t>JIHAD ISTIMEWA &amp; PELEPASAN JAMA’AH HAJI 2026 - Pesantren Persis 27</t>
        </is>
      </c>
      <c r="F44" s="19" t="inlineStr">
        <is>
          <t>Check that link "WhatsApp" has attribute href containing "https://wa.me/?text=JIHAD+ISTIMEWA+%26+PELEPASAN+JAMA%E2%80%99AH+HAJI+2026+http%3A%2F%2F127.0.0.1%3A8000%2Fportal%2Fjihad-istimewa-pelepasan-jamaah-haji-2026"</t>
        </is>
      </c>
      <c r="G44" s="8" t="inlineStr">
        <is>
          <t>buka L043</t>
        </is>
      </c>
      <c r="H44" s="9" t="n"/>
      <c r="I44" s="9" t="n"/>
      <c r="J44" s="9" t="n"/>
      <c r="K44" s="9" t="n"/>
    </row>
    <row r="45" ht="60" customHeight="1" s="14">
      <c r="A45" s="19" t="inlineStr">
        <is>
          <t>L044</t>
        </is>
      </c>
      <c r="B45" s="19" t="inlineStr">
        <is>
          <t>Breadcrumb and share links refer to the current article.</t>
        </is>
      </c>
      <c r="C45" s="19" t="inlineStr">
        <is>
          <t>1. Breadcrumb has Beranda and Berita
2. WhatsApp/Facebook/Twitter links contain the article URL</t>
        </is>
      </c>
      <c r="D45" s="19" t="inlineStr">
        <is>
          <t>http://127.0.0.1:8000/portal/jihad-istimewa-pelepasan-jamaah-haji-2026</t>
        </is>
      </c>
      <c r="E45" s="19" t="inlineStr">
        <is>
          <t>JIHAD ISTIMEWA &amp; PELEPASAN JAMA’AH HAJI 2026 - Pesantren Persis 27</t>
        </is>
      </c>
      <c r="F45" s="19" t="inlineStr">
        <is>
          <t>Check that link "WhatsApp" has attribute href containing "https://wa.me/?text=JIHAD+ISTIMEWA+%26+PELEPASAN+JAMA%E2%80%99AH+HAJI+2026+http%3A%2F%2F127.0.0.1%3A8000%2Fportal%2Fjihad-istimewa-pelepasan-jamaah-haji-2026"</t>
        </is>
      </c>
      <c r="G45" s="8" t="inlineStr">
        <is>
          <t>buka L044</t>
        </is>
      </c>
      <c r="H45" s="9" t="n"/>
      <c r="I45" s="9" t="n"/>
      <c r="J45" s="9" t="n"/>
      <c r="K45" s="9" t="n"/>
    </row>
    <row r="46" ht="60" customHeight="1" s="14">
      <c r="A46" s="19" t="inlineStr">
        <is>
          <t>L045</t>
        </is>
      </c>
      <c r="B46" s="19" t="inlineStr">
        <is>
          <t>A visitor expands an FAQ question.</t>
        </is>
      </c>
      <c r="C46" s="19" t="inlineStr">
        <is>
          <t>1. The corresponding answer is visible</t>
        </is>
      </c>
      <c r="D46" s="19" t="inlineStr">
        <is>
          <t>http://127.0.0.1:8000/</t>
        </is>
      </c>
      <c r="E46" s="19" t="inlineStr">
        <is>
          <t>Portal Pesantren PERSIS 27 Situaksan</t>
        </is>
      </c>
      <c r="F46" s="19" t="inlineStr">
        <is>
          <t>Check that button "Bagaimana syarat masuk PPI 27?" has attribute aria-expanded containing "aria-expanded"</t>
        </is>
      </c>
      <c r="G46" s="8" t="inlineStr">
        <is>
          <t>buka L045</t>
        </is>
      </c>
      <c r="H46" s="9" t="n"/>
      <c r="I46" s="9" t="n"/>
      <c r="J46" s="9" t="n"/>
      <c r="K46" s="9" t="n"/>
    </row>
    <row r="47" ht="60" customHeight="1" s="14">
      <c r="A47" s="19" t="inlineStr">
        <is>
          <t>L046</t>
        </is>
      </c>
      <c r="B47" s="19" t="inlineStr">
        <is>
          <t>The 'Info Terbaru' call-to-action opens the news list.</t>
        </is>
      </c>
      <c r="C47" s="19" t="inlineStr">
        <is>
          <t>1. URL is /portal/berita
2. H1 is 'Berita Terbaru'</t>
        </is>
      </c>
      <c r="D47" s="19" t="inlineStr">
        <is>
          <t>http://127.0.0.1:8000/</t>
        </is>
      </c>
      <c r="E47" s="19" t="inlineStr">
        <is>
          <t>Portal Pesantren PERSIS 27 Situaksan</t>
        </is>
      </c>
      <c r="F47" s="19" t="inlineStr">
        <is>
          <t>Check that link "Info Terbaru" has attribute href containing "http://127.0.0.1:8000/portal/berita"</t>
        </is>
      </c>
      <c r="G47" s="8" t="inlineStr">
        <is>
          <t>buka L046</t>
        </is>
      </c>
      <c r="H47" s="9" t="n"/>
      <c r="I47" s="9" t="n"/>
      <c r="J47" s="9" t="n"/>
      <c r="K47" s="9" t="n"/>
    </row>
    <row r="48" ht="60" customHeight="1" s="14">
      <c r="A48" s="19" t="inlineStr">
        <is>
          <t>L047</t>
        </is>
      </c>
      <c r="B48" s="19" t="inlineStr">
        <is>
          <t>Related articles exclude the article being read.</t>
        </is>
      </c>
      <c r="C48" s="19" t="inlineStr">
        <is>
          <t>1. Related list is non-empty
2. Current URL not in related list</t>
        </is>
      </c>
      <c r="D48" s="19" t="inlineStr">
        <is>
          <t>http://127.0.0.1:8000/portal/jihad-istimewa-pelepasan-jamaah-haji-2026</t>
        </is>
      </c>
      <c r="E48" s="19" t="inlineStr">
        <is>
          <t>JIHAD ISTIMEWA &amp; PELEPASAN JAMA’AH HAJI 2026 - Pesantren Persis 27</t>
        </is>
      </c>
      <c r="F48" s="19" t="inlineStr">
        <is>
          <t>Check that link "SILATURAHMI ORANG TUA SANTRI BARU TA. 2026-2027" has attribute href containing "http://127.0.0.1:8000/portal/silaturahmi-orang-tua-santri-baru-ta-2026-2027"</t>
        </is>
      </c>
      <c r="G48" s="8" t="inlineStr">
        <is>
          <t>buka L047</t>
        </is>
      </c>
      <c r="H48" s="9" t="n"/>
      <c r="I48" s="9" t="n"/>
      <c r="J48" s="9" t="n"/>
      <c r="K48" s="9" t="n"/>
    </row>
    <row r="49" ht="60" customHeight="1" s="14">
      <c r="A49" s="19" t="inlineStr">
        <is>
          <t>L048</t>
        </is>
      </c>
      <c r="B49" s="19" t="inlineStr">
        <is>
          <t>Opening an article from the list shows consistent data.</t>
        </is>
      </c>
      <c r="C49" s="19" t="inlineStr">
        <is>
          <t>1. URL equals card href
2. H1 equals card title
3. Publication date equals card date</t>
        </is>
      </c>
      <c r="D49" s="19" t="inlineStr">
        <is>
          <t>http://127.0.0.1:8000/portal/silaturahmi-orang-tua-santri-baru-ta-2026-2027</t>
        </is>
      </c>
      <c r="E49" s="19" t="inlineStr">
        <is>
          <t>SILATURAHMI ORANG TUA SANTRI BARU TA. 2026-2027 - Pesantren Persis 27</t>
        </is>
      </c>
      <c r="F49" s="19" t="inlineStr">
        <is>
          <t>Check that link "SILATURAHMI ORANG TUA SANTRI BARU TA. 2026-2027" has attribute href containing "href"</t>
        </is>
      </c>
      <c r="G49" s="8" t="inlineStr">
        <is>
          <t>buka L048</t>
        </is>
      </c>
      <c r="H49" s="9" t="n"/>
      <c r="I49" s="9" t="n"/>
      <c r="J49" s="9" t="n"/>
      <c r="K49" s="9" t="n"/>
    </row>
    <row r="50" ht="60" customHeight="1" s="14">
      <c r="A50" s="19" t="inlineStr">
        <is>
          <t>L049</t>
        </is>
      </c>
      <c r="B50" s="19" t="inlineStr">
        <is>
          <t>Related articles exclude the article being read.</t>
        </is>
      </c>
      <c r="C50" s="19" t="inlineStr">
        <is>
          <t>1. Related list is non-empty
2. Current URL not in related list</t>
        </is>
      </c>
      <c r="D50" s="19" t="inlineStr">
        <is>
          <t>http://127.0.0.1:8000/portal/jihad-istimewa-pelepasan-jamaah-haji-2026</t>
        </is>
      </c>
      <c r="E50" s="19" t="inlineStr">
        <is>
          <t>JIHAD ISTIMEWA &amp; PELEPASAN JAMA’AH HAJI 2026 - Pesantren Persis 27</t>
        </is>
      </c>
      <c r="F50" s="19" t="inlineStr">
        <is>
          <t>Check that link "SILATURAHMI ORANG TUA SANTRI BARU TA. 2026-2027" has attribute href containing "http://127.0.0.1:8000/portal/silaturahmi-orang-tua-santri-baru-ta-2026-2027"</t>
        </is>
      </c>
      <c r="G50" s="8" t="inlineStr">
        <is>
          <t>buka L049</t>
        </is>
      </c>
      <c r="H50" s="9" t="n"/>
      <c r="I50" s="9" t="n"/>
      <c r="J50" s="9" t="n"/>
      <c r="K50" s="9" t="n"/>
    </row>
    <row r="51" ht="60" customHeight="1" s="14">
      <c r="A51" s="19" t="inlineStr">
        <is>
          <t>L050</t>
        </is>
      </c>
      <c r="B51" s="19" t="inlineStr">
        <is>
          <t>A visitor opens the portal home page.</t>
        </is>
      </c>
      <c r="C51" s="19" t="inlineStr">
        <is>
          <t>1. HTTP status &lt; 400
2. Page title contains 'Pesantren PERSIS 27'
3. Main heading contains 'Tafaqquh Fid Din'</t>
        </is>
      </c>
      <c r="D51" s="19" t="inlineStr">
        <is>
          <t>http://127.0.0.1:8000/</t>
        </is>
      </c>
      <c r="E51" s="19" t="inlineStr">
        <is>
          <t>Portal Pesantren PERSIS 27 Situaksan</t>
        </is>
      </c>
      <c r="F51" s="19" t="inlineStr">
        <is>
          <t>Check that link "Daftar PSB" has attribute href containing "https://psb.pesantrenpersis27.com"</t>
        </is>
      </c>
      <c r="G51" s="8" t="inlineStr">
        <is>
          <t>buka L050</t>
        </is>
      </c>
      <c r="H51" s="9" t="n"/>
      <c r="I51" s="9" t="n"/>
      <c r="J51" s="9" t="n"/>
      <c r="K51" s="9" t="n"/>
    </row>
    <row r="52" ht="60" customHeight="1" s="14">
      <c r="A52" s="19" t="inlineStr">
        <is>
          <t>L051</t>
        </is>
      </c>
      <c r="B52" s="19" t="inlineStr">
        <is>
          <t>A visitor opens the portal home page.</t>
        </is>
      </c>
      <c r="C52" s="19" t="inlineStr">
        <is>
          <t>1. HTTP status &lt; 400
2. Page title contains 'Pesantren PERSIS 27'
3. Main heading contains 'Tafaqquh Fid Din'</t>
        </is>
      </c>
      <c r="D52" s="19" t="inlineStr">
        <is>
          <t>http://127.0.0.1:8000/</t>
        </is>
      </c>
      <c r="E52" s="19" t="inlineStr">
        <is>
          <t>Portal Pesantren PERSIS 27 Situaksan</t>
        </is>
      </c>
      <c r="F52" s="19" t="inlineStr">
        <is>
          <t>Check that the page title contains "Portal Pesantren PERSIS 27 Situaksan"</t>
        </is>
      </c>
      <c r="G52" s="8" t="inlineStr">
        <is>
          <t>buka L051</t>
        </is>
      </c>
      <c r="H52" s="9" t="n"/>
      <c r="I52" s="9" t="n"/>
      <c r="J52" s="9" t="n"/>
      <c r="K52" s="9" t="n"/>
    </row>
    <row r="53" ht="60" customHeight="1" s="14">
      <c r="A53" s="19" t="inlineStr">
        <is>
          <t>L052</t>
        </is>
      </c>
      <c r="B53" s="19" t="inlineStr">
        <is>
          <t>A visitor opens the portal home page.</t>
        </is>
      </c>
      <c r="C53" s="19" t="inlineStr">
        <is>
          <t>1. HTTP status &lt; 400
2. Page title contains 'Pesantren PERSIS 27'
3. Main heading contains 'Tafaqquh Fid Din'</t>
        </is>
      </c>
      <c r="D53" s="19" t="inlineStr">
        <is>
          <t>http://127.0.0.1:8000/</t>
        </is>
      </c>
      <c r="E53" s="19" t="inlineStr">
        <is>
          <t>Portal Pesantren PERSIS 27 Situaksan</t>
        </is>
      </c>
      <c r="F53" s="19" t="inlineStr">
        <is>
          <t>Check that link "Daftar PSB" has attribute href containing "https://psb.pesantrenpersis27.com"</t>
        </is>
      </c>
      <c r="G53" s="8" t="inlineStr">
        <is>
          <t>buka L052</t>
        </is>
      </c>
      <c r="H53" s="9" t="n"/>
      <c r="I53" s="9" t="n"/>
      <c r="J53" s="9" t="n"/>
      <c r="K53" s="9" t="n"/>
    </row>
    <row r="54" ht="60" customHeight="1" s="14">
      <c r="A54" s="19" t="inlineStr">
        <is>
          <t>L053</t>
        </is>
      </c>
      <c r="B54" s="19" t="inlineStr">
        <is>
          <t>Each featured-program card opens a modal with the matching title that can be closed.</t>
        </is>
      </c>
      <c r="C54" s="19" t="inlineStr">
        <is>
          <t>1. Five 'Selengkapnya' controls
2. Modal title matches the card
3. 'Tutup' hides the modal</t>
        </is>
      </c>
      <c r="D54" s="19" t="inlineStr">
        <is>
          <t>http://127.0.0.1:8000/</t>
        </is>
      </c>
      <c r="E54" s="19" t="inlineStr">
        <is>
          <t>Portal Pesantren PERSIS 27 Situaksan</t>
        </is>
      </c>
      <c r="F54" s="19" t="inlineStr">
        <is>
          <t>Check that button "Selengkapnya" has attribute href containing "href"</t>
        </is>
      </c>
      <c r="G54" s="8" t="inlineStr">
        <is>
          <t>buka L053</t>
        </is>
      </c>
      <c r="H54" s="9" t="n"/>
      <c r="I54" s="9" t="n"/>
      <c r="J54" s="9" t="n"/>
      <c r="K54" s="9" t="n"/>
    </row>
    <row r="55" ht="60" customHeight="1" s="14">
      <c r="A55" s="19" t="inlineStr">
        <is>
          <t>L054</t>
        </is>
      </c>
      <c r="B55" s="19" t="inlineStr">
        <is>
          <t>The SIMASIS login form is complete and accessible.</t>
        </is>
      </c>
      <c r="C55" s="19" t="inlineStr">
        <is>
          <t>1. Username and password inputs are reachable by accessible name/placeholder
2. Password input masks text
3. Submit enabled
4. CSRF token present</t>
        </is>
      </c>
      <c r="D55" s="19" t="inlineStr">
        <is>
          <t>http://127.0.0.1:8000/login</t>
        </is>
      </c>
      <c r="E55" s="19" t="inlineStr">
        <is>
          <t>SIMASIS - Sistem Manajemen Pesantren Persis 27</t>
        </is>
      </c>
      <c r="F55" s="19" t="inlineStr">
        <is>
          <t>Check that textbox "Email atau Username" has attribute placeholder containing "placeholder"</t>
        </is>
      </c>
      <c r="G55" s="8" t="inlineStr">
        <is>
          <t>buka L054</t>
        </is>
      </c>
      <c r="H55" s="9" t="n"/>
      <c r="I55" s="9" t="n"/>
      <c r="J55" s="9" t="n"/>
      <c r="K55" s="9" t="n"/>
    </row>
    <row r="56" ht="60" customHeight="1" s="14">
      <c r="A56" s="19" t="inlineStr">
        <is>
          <t>L055</t>
        </is>
      </c>
      <c r="B56" s="19" t="inlineStr">
        <is>
          <t>A visitor opens the portal home page.</t>
        </is>
      </c>
      <c r="C56" s="19" t="inlineStr">
        <is>
          <t>1. HTTP status &lt; 400
2. Page title contains 'Pesantren PERSIS 27'
3. Main heading contains 'Tafaqquh Fid Din'</t>
        </is>
      </c>
      <c r="D56" s="19" t="inlineStr">
        <is>
          <t>http://127.0.0.1:8000/</t>
        </is>
      </c>
      <c r="E56" s="19" t="inlineStr">
        <is>
          <t>Portal Pesantren PERSIS 27 Situaksan</t>
        </is>
      </c>
      <c r="F56" s="19" t="inlineStr">
        <is>
          <t>Check that the page title contains "Portal Pesantren PERSIS 27 Situaksan"</t>
        </is>
      </c>
      <c r="G56" s="8" t="inlineStr">
        <is>
          <t>buka L055</t>
        </is>
      </c>
      <c r="H56" s="9" t="n"/>
      <c r="I56" s="9" t="n"/>
      <c r="J56" s="9" t="n"/>
      <c r="K56" s="9" t="n"/>
    </row>
    <row r="57" ht="60" customHeight="1" s="14">
      <c r="A57" s="19" t="inlineStr">
        <is>
          <t>L056</t>
        </is>
      </c>
      <c r="B57" s="19" t="inlineStr">
        <is>
          <t>A visitor opens the first latest-news item from the home page.</t>
        </is>
      </c>
      <c r="C57" s="19" t="inlineStr">
        <is>
          <t>1. Article H1 equals the card title</t>
        </is>
      </c>
      <c r="D57" s="19" t="inlineStr">
        <is>
          <t>http://127.0.0.1:8000/</t>
        </is>
      </c>
      <c r="E57" s="19" t="inlineStr">
        <is>
          <t>Portal Pesantren PERSIS 27 Situaksan</t>
        </is>
      </c>
      <c r="F57" s="19" t="inlineStr">
        <is>
          <t>Check that link "Lihat Semua" has attribute href containing "http://127.0.0.1:8000/portal/berita"</t>
        </is>
      </c>
      <c r="G57" s="8" t="inlineStr">
        <is>
          <t>buka L056</t>
        </is>
      </c>
      <c r="H57" s="9" t="n"/>
      <c r="I57" s="9" t="n"/>
      <c r="J57" s="9" t="n"/>
      <c r="K57" s="9" t="n"/>
    </row>
    <row r="58" ht="60" customHeight="1" s="14">
      <c r="A58" s="19" t="inlineStr">
        <is>
          <t>L057</t>
        </is>
      </c>
      <c r="B58" s="19" t="inlineStr">
        <is>
          <t>A visitor opens the first latest-news item from the home page.</t>
        </is>
      </c>
      <c r="C58" s="19" t="inlineStr">
        <is>
          <t>1. Article H1 equals the card title</t>
        </is>
      </c>
      <c r="D58" s="19" t="inlineStr">
        <is>
          <t>http://127.0.0.1:8000/</t>
        </is>
      </c>
      <c r="E58" s="19" t="inlineStr">
        <is>
          <t>Portal Pesantren PERSIS 27 Situaksan</t>
        </is>
      </c>
      <c r="F58" s="19" t="inlineStr">
        <is>
          <t>Check that link "Info Terbaru" has attribute href containing "href"</t>
        </is>
      </c>
      <c r="G58" s="8" t="inlineStr">
        <is>
          <t>buka L057</t>
        </is>
      </c>
      <c r="H58" s="9" t="n"/>
      <c r="I58" s="9" t="n"/>
      <c r="J58" s="9" t="n"/>
      <c r="K58" s="9" t="n"/>
    </row>
    <row r="59" ht="60" customHeight="1" s="14">
      <c r="A59" s="19" t="inlineStr">
        <is>
          <t>L058</t>
        </is>
      </c>
      <c r="B59" s="19" t="inlineStr">
        <is>
          <t>Statistic links (alumni, santri per jenjang) lead to valid targets.</t>
        </is>
      </c>
      <c r="C59" s="19" t="inlineStr">
        <is>
          <t>1. Alumni page returns &lt; 400
2. Anchors #tsanawiyyah and #muallimin exist on the santri page</t>
        </is>
      </c>
      <c r="D59" s="19" t="inlineStr">
        <is>
          <t>http://127.0.0.1:8000/</t>
        </is>
      </c>
      <c r="E59" s="19" t="inlineStr">
        <is>
          <t>Portal Pesantren PERSIS 27 Situaksan</t>
        </is>
      </c>
      <c r="F59" s="19" t="inlineStr">
        <is>
          <t>Check that link "364 + Alumni tersebar di nusantara " has attribute href containing "http://127.0.0.1:8000/portal/halaman/alumni"</t>
        </is>
      </c>
      <c r="G59" s="8" t="inlineStr">
        <is>
          <t>buka L058</t>
        </is>
      </c>
      <c r="H59" s="9" t="n"/>
      <c r="I59" s="9" t="n"/>
      <c r="J59" s="9" t="n"/>
      <c r="K59" s="9" t="n"/>
    </row>
    <row r="60" ht="60" customHeight="1" s="14">
      <c r="A60" s="19" t="inlineStr">
        <is>
          <t>L059</t>
        </is>
      </c>
      <c r="B60" s="19" t="inlineStr">
        <is>
          <t>Opening an article from the list shows consistent data.</t>
        </is>
      </c>
      <c r="C60" s="19" t="inlineStr">
        <is>
          <t>1. URL equals card href
2. H1 equals card title
3. Publication date equals card date</t>
        </is>
      </c>
      <c r="D60" s="19" t="inlineStr">
        <is>
          <t>http://127.0.0.1:8000/portal/berita</t>
        </is>
      </c>
      <c r="E60" s="19" t="inlineStr">
        <is>
          <t>Berita Terbaru - Portal Pesantren PERSIS 27</t>
        </is>
      </c>
      <c r="F60" s="19" t="inlineStr">
        <is>
          <t>Click link "SILATURAHMI ORANG TUA SANTRI BARU TA. 2026-2027"</t>
        </is>
      </c>
      <c r="G60" s="8" t="inlineStr">
        <is>
          <t>buka L059</t>
        </is>
      </c>
      <c r="H60" s="9" t="n"/>
      <c r="I60" s="9" t="n"/>
      <c r="J60" s="9" t="n"/>
      <c r="K60" s="9" t="n"/>
    </row>
    <row r="61" ht="60" customHeight="1" s="14">
      <c r="A61" s="19" t="inlineStr">
        <is>
          <t>L060</t>
        </is>
      </c>
      <c r="B61" s="19" t="inlineStr">
        <is>
          <t>The 'Info Terbaru' call-to-action opens the news list.</t>
        </is>
      </c>
      <c r="C61" s="19" t="inlineStr">
        <is>
          <t>1. URL is /portal/berita
2. H1 is 'Berita Terbaru'</t>
        </is>
      </c>
      <c r="D61" s="19" t="inlineStr">
        <is>
          <t>http://127.0.0.1:8000/</t>
        </is>
      </c>
      <c r="E61" s="19" t="inlineStr">
        <is>
          <t>Portal Pesantren PERSIS 27 Situaksan</t>
        </is>
      </c>
      <c r="F61" s="19" t="inlineStr">
        <is>
          <t>Check that link "Info Terbaru" has attribute href containing "http://127.0.0.1:8000/portal/berita"</t>
        </is>
      </c>
      <c r="G61" s="8" t="inlineStr">
        <is>
          <t>buka L060</t>
        </is>
      </c>
      <c r="H61" s="9" t="n"/>
      <c r="I61" s="9" t="n"/>
      <c r="J61" s="9" t="n"/>
      <c r="K61" s="9" t="n"/>
    </row>
    <row r="62" ht="60" customHeight="1" s="14">
      <c r="A62" s="19" t="inlineStr">
        <is>
          <t>L061</t>
        </is>
      </c>
      <c r="B62" s="19" t="inlineStr">
        <is>
          <t>The 'Daftar PSB' call-to-action leads to the admission site.</t>
        </is>
      </c>
      <c r="C62" s="19" t="inlineStr">
        <is>
          <t>1. href is https://psb.pesantrenpersis27.com</t>
        </is>
      </c>
      <c r="D62" s="19" t="inlineStr">
        <is>
          <t>http://127.0.0.1:8000/</t>
        </is>
      </c>
      <c r="E62" s="19" t="inlineStr">
        <is>
          <t>Portal Pesantren PERSIS 27 Situaksan</t>
        </is>
      </c>
      <c r="F62" s="19" t="inlineStr">
        <is>
          <t>Check that link "Daftar PSB " has attribute href containing "https://psb.pesantrenpersis27.com"</t>
        </is>
      </c>
      <c r="G62" s="8" t="inlineStr">
        <is>
          <t>buka L061</t>
        </is>
      </c>
      <c r="H62" s="9" t="n"/>
      <c r="I62" s="9" t="n"/>
      <c r="J62" s="9" t="n"/>
      <c r="K62" s="9" t="n"/>
    </row>
    <row r="63" ht="60" customHeight="1" s="14">
      <c r="A63" s="19" t="inlineStr">
        <is>
          <t>L062</t>
        </is>
      </c>
      <c r="B63" s="19" t="inlineStr">
        <is>
          <t>'Kembali ke Landing Page' returns to the portal.</t>
        </is>
      </c>
      <c r="C63" s="19" t="inlineStr">
        <is>
          <t>1. URL is the portal root</t>
        </is>
      </c>
      <c r="D63" s="19" t="inlineStr">
        <is>
          <t>http://127.0.0.1:8000/login</t>
        </is>
      </c>
      <c r="E63" s="19" t="inlineStr">
        <is>
          <t>SIMASIS - Sistem Manajemen Pesantren Persis 27</t>
        </is>
      </c>
      <c r="F63" s="19" t="inlineStr">
        <is>
          <t>Check that link "Kembali ke Landing Page" has attribute href containing "href"</t>
        </is>
      </c>
      <c r="G63" s="8" t="inlineStr">
        <is>
          <t>buka L062</t>
        </is>
      </c>
      <c r="H63" s="9" t="n"/>
      <c r="I63" s="9" t="n"/>
      <c r="J63" s="9" t="n"/>
      <c r="K63" s="9" t="n"/>
    </row>
    <row r="64" ht="60" customHeight="1" s="14">
      <c r="A64" s="19" t="inlineStr">
        <is>
          <t>L063</t>
        </is>
      </c>
      <c r="B64" s="19" t="inlineStr">
        <is>
          <t>A visitor expands an FAQ question.</t>
        </is>
      </c>
      <c r="C64" s="19" t="inlineStr">
        <is>
          <t>1. The corresponding answer is visible</t>
        </is>
      </c>
      <c r="D64" s="19" t="inlineStr">
        <is>
          <t>http://127.0.0.1:8000/</t>
        </is>
      </c>
      <c r="E64" s="19" t="inlineStr">
        <is>
          <t>Portal Pesantren PERSIS 27 Situaksan</t>
        </is>
      </c>
      <c r="F64" s="19" t="inlineStr">
        <is>
          <t>Check that button "Bagaimana syarat masuk PPI 27?" has attribute aria-expanded containing "aria-expanded"</t>
        </is>
      </c>
      <c r="G64" s="8" t="inlineStr">
        <is>
          <t>buka L063</t>
        </is>
      </c>
      <c r="H64" s="9" t="n"/>
      <c r="I64" s="9" t="n"/>
      <c r="J64" s="9" t="n"/>
      <c r="K64" s="9" t="n"/>
    </row>
    <row r="65" ht="60" customHeight="1" s="14">
      <c r="A65" s="19" t="inlineStr">
        <is>
          <t>L064</t>
        </is>
      </c>
      <c r="B65" s="19" t="inlineStr">
        <is>
          <t>Invalid credentials are rejected with a clear message.</t>
        </is>
      </c>
      <c r="C65" s="19" t="inlineStr">
        <is>
          <t>1. Remains on /login
2. Error message visible
3. Password field is cleared</t>
        </is>
      </c>
      <c r="D65" s="19" t="inlineStr">
        <is>
          <t>http://127.0.0.1:8000/login</t>
        </is>
      </c>
      <c r="E65" s="19" t="inlineStr">
        <is>
          <t>SIMASIS - Sistem Manajemen Pesantren Persis 27</t>
        </is>
      </c>
      <c r="F65" s="19" t="inlineStr">
        <is>
          <t>Check that link "Kembali ke Landing Page" has attribute href containing "href"</t>
        </is>
      </c>
      <c r="G65" s="8" t="inlineStr">
        <is>
          <t>buka L064</t>
        </is>
      </c>
      <c r="H65" s="9" t="n"/>
      <c r="I65" s="9" t="n"/>
      <c r="J65" s="9" t="n"/>
      <c r="K65" s="9" t="n"/>
    </row>
    <row r="66" ht="60" customHeight="1" s="14">
      <c r="A66" s="19" t="inlineStr">
        <is>
          <t>L065</t>
        </is>
      </c>
      <c r="B66" s="19" t="inlineStr">
        <is>
          <t>A visitor opens a student article from the list.</t>
        </is>
      </c>
      <c r="C66" s="19" t="inlineStr">
        <is>
          <t>1. Article H1 equals the card title</t>
        </is>
      </c>
      <c r="D66" s="19" t="inlineStr">
        <is>
          <t>http://127.0.0.1:8000/portal/artikel</t>
        </is>
      </c>
      <c r="E66" s="19" t="inlineStr">
        <is>
          <t>Artikel Santri - Portal Pesantren PERSIS 27</t>
        </is>
      </c>
      <c r="F66" s="19" t="inlineStr">
        <is>
          <t>Check that link "Menata Amal Shalih dalam Skala Prioritas" has attribute href containing "href"</t>
        </is>
      </c>
      <c r="G66" s="8" t="inlineStr">
        <is>
          <t>buka L065</t>
        </is>
      </c>
      <c r="H66" s="9" t="n"/>
      <c r="I66" s="9" t="n"/>
      <c r="J66" s="9" t="n"/>
      <c r="K66" s="9" t="n"/>
    </row>
    <row r="67" ht="60" customHeight="1" s="14">
      <c r="A67" s="19" t="inlineStr">
        <is>
          <t>L066</t>
        </is>
      </c>
      <c r="B67" s="19" t="inlineStr">
        <is>
          <t>Opening an article from the list shows consistent data.</t>
        </is>
      </c>
      <c r="C67" s="19" t="inlineStr">
        <is>
          <t>1. URL equals card href
2. H1 equals card title
3. Publication date equals card date</t>
        </is>
      </c>
      <c r="D67" s="19" t="inlineStr">
        <is>
          <t>http://127.0.0.1:8000/portal/berita</t>
        </is>
      </c>
      <c r="E67" s="19" t="inlineStr">
        <is>
          <t>Berita Terbaru - Portal Pesantren PERSIS 27</t>
        </is>
      </c>
      <c r="F67" s="19" t="inlineStr">
        <is>
          <t>Check that link "SILATURAHMI ORANG TUA SANTRI BARU TA. 2026-2027" has attribute href containing "http://127.0.0.1:8000/portal/silaturahmi-orang-tua-santri-baru-ta-2026-2027"</t>
        </is>
      </c>
      <c r="G67" s="8" t="inlineStr">
        <is>
          <t>buka L066</t>
        </is>
      </c>
      <c r="H67" s="9" t="n"/>
      <c r="I67" s="9" t="n"/>
      <c r="J67" s="9" t="n"/>
      <c r="K67" s="9" t="n"/>
    </row>
    <row r="68" ht="60" customHeight="1" s="14">
      <c r="A68" s="19" t="inlineStr">
        <is>
          <t>L067</t>
        </is>
      </c>
      <c r="B68" s="19" t="inlineStr">
        <is>
          <t>The SIMASIS login form is complete and accessible.</t>
        </is>
      </c>
      <c r="C68" s="19" t="inlineStr">
        <is>
          <t>1. Username and password inputs are reachable by accessible name/placeholder
2. Password input masks text
3. Submit enabled
4. CSRF token present</t>
        </is>
      </c>
      <c r="D68" s="19" t="inlineStr">
        <is>
          <t>http://127.0.0.1:8000/login</t>
        </is>
      </c>
      <c r="E68" s="19" t="inlineStr">
        <is>
          <t>SIMASIS - Sistem Manajemen Pesantren Persis 27</t>
        </is>
      </c>
      <c r="F68" s="19" t="inlineStr">
        <is>
          <t>Check that textbox "Email atau Username" has attribute placeholder containing "placeholder"</t>
        </is>
      </c>
      <c r="G68" s="8" t="inlineStr">
        <is>
          <t>buka L067</t>
        </is>
      </c>
      <c r="H68" s="9" t="n"/>
      <c r="I68" s="9" t="n"/>
      <c r="J68" s="9" t="n"/>
      <c r="K68" s="9" t="n"/>
    </row>
    <row r="69" ht="60" customHeight="1" s="14">
      <c r="A69" s="19" t="inlineStr">
        <is>
          <t>L068</t>
        </is>
      </c>
      <c r="B69" s="19" t="inlineStr">
        <is>
          <t>'Kembali ke Landing Page' returns to the portal.</t>
        </is>
      </c>
      <c r="C69" s="19" t="inlineStr">
        <is>
          <t>1. URL is the portal root</t>
        </is>
      </c>
      <c r="D69" s="19" t="inlineStr">
        <is>
          <t>http://127.0.0.1:8000/login</t>
        </is>
      </c>
      <c r="E69" s="19" t="inlineStr">
        <is>
          <t>SIMASIS - Sistem Manajemen Pesantren Persis 27</t>
        </is>
      </c>
      <c r="F69" s="19" t="inlineStr">
        <is>
          <t>Check that link "Kembali ke Landing Page" has attribute href containing "http://127.0.0.1:8000"</t>
        </is>
      </c>
      <c r="G69" s="8" t="inlineStr">
        <is>
          <t>buka L068</t>
        </is>
      </c>
      <c r="H69" s="9" t="n"/>
      <c r="I69" s="9" t="n"/>
      <c r="J69" s="9" t="n"/>
      <c r="K69" s="9" t="n"/>
    </row>
    <row r="70" ht="60" customHeight="1" s="14">
      <c r="A70" s="19" t="inlineStr">
        <is>
          <t>L069</t>
        </is>
      </c>
      <c r="B70" s="19" t="inlineStr">
        <is>
          <t>The 'Info Terbaru' call-to-action opens the news list.</t>
        </is>
      </c>
      <c r="C70" s="19" t="inlineStr">
        <is>
          <t>1. URL is /portal/berita
2. H1 is 'Berita Terbaru'</t>
        </is>
      </c>
      <c r="D70" s="19" t="inlineStr">
        <is>
          <t>http://127.0.0.1:8000/</t>
        </is>
      </c>
      <c r="E70" s="19" t="inlineStr">
        <is>
          <t>Portal Pesantren PERSIS 27 Situaksan</t>
        </is>
      </c>
      <c r="F70" s="19" t="inlineStr">
        <is>
          <t>Check that link "Info Terbaru" has attribute href containing "http://127.0.0.1:8000/portal/berita"</t>
        </is>
      </c>
      <c r="G70" s="8" t="inlineStr">
        <is>
          <t>buka L069</t>
        </is>
      </c>
      <c r="H70" s="9" t="n"/>
      <c r="I70" s="9" t="n"/>
      <c r="J70" s="9" t="n"/>
      <c r="K70" s="9" t="n"/>
    </row>
    <row r="71" ht="60" customHeight="1" s="14">
      <c r="A71" s="19" t="inlineStr">
        <is>
          <t>L070</t>
        </is>
      </c>
      <c r="B71" s="19" t="inlineStr">
        <is>
          <t>Statistic links (alumni, santri per jenjang) lead to valid targets.</t>
        </is>
      </c>
      <c r="C71" s="19" t="inlineStr">
        <is>
          <t>1. Alumni page returns &lt; 400
2. Anchors #tsanawiyyah and #muallimin exist on the santri page</t>
        </is>
      </c>
      <c r="D71" s="19" t="inlineStr">
        <is>
          <t>http://127.0.0.1:8000/</t>
        </is>
      </c>
      <c r="E71" s="19" t="inlineStr">
        <is>
          <t>Portal Pesantren PERSIS 27 Situaksan</t>
        </is>
      </c>
      <c r="F71" s="19" t="inlineStr">
        <is>
          <t>Check that link "364 + Alumni tersebar di nusantara" has attribute href containing "href"</t>
        </is>
      </c>
      <c r="G71" s="8" t="inlineStr">
        <is>
          <t>buka L070</t>
        </is>
      </c>
      <c r="H71" s="9" t="n"/>
      <c r="I71" s="9" t="n"/>
      <c r="J71" s="9" t="n"/>
      <c r="K71" s="9" t="n"/>
    </row>
  </sheetData>
  <dataValidations count="3">
    <dataValidation sqref="H2:H71" showDropDown="0" showInputMessage="1" showErrorMessage="1" allowBlank="1" errorTitle="Nilai tidak valid" error="0, 1, atau 2" promptTitle="Pilih" prompt="0, 1, atau 2" type="list">
      <formula1>"0,1,2"</formula1>
    </dataValidation>
    <dataValidation sqref="I2:I71" showDropDown="0" showInputMessage="1" showErrorMessage="1" allowBlank="1" errorTitle="Nilai tidak valid" error="yes, no, atau unsure" promptTitle="Pilih" prompt="yes, no, atau unsure" type="list">
      <formula1>"yes,no,unsure"</formula1>
    </dataValidation>
    <dataValidation sqref="J2:J71" showDropDown="0" showInputMessage="1" showErrorMessage="1" allowBlank="1" errorTitle="Nilai tidak valid" error="accept, edit, atau reject" promptTitle="Pilih" prompt="accept, edit, atau reject" type="list">
      <formula1>"accept,edit,reject"</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tabSelected="1" workbookViewId="0">
      <pane xSplit="1" ySplit="1" topLeftCell="B2" activePane="bottomRight" state="frozen"/>
      <selection pane="topRight" activeCell="A1" sqref="A1"/>
      <selection pane="bottomLeft" activeCell="A1" sqref="A1"/>
      <selection pane="bottomRight" activeCell="B2" sqref="B2"/>
    </sheetView>
  </sheetViews>
  <sheetFormatPr baseColWidth="10" defaultColWidth="8.83203125" defaultRowHeight="15"/>
  <cols>
    <col width="8" customWidth="1" style="14" min="1" max="1"/>
    <col width="32" customWidth="1" style="14" min="2" max="2"/>
    <col width="38" customWidth="1" style="14" min="3" max="3"/>
    <col width="56" customWidth="1" style="14" min="4" max="4"/>
    <col width="14" customWidth="1" style="14" min="5" max="5"/>
    <col width="13" customWidth="1" style="14" min="6" max="6"/>
    <col width="12" customWidth="1" style="14" min="7" max="7"/>
    <col width="30" customWidth="1" style="14" min="8" max="8"/>
  </cols>
  <sheetData>
    <row r="1" ht="32" customHeight="1" s="14">
      <c r="A1" s="7" t="inlineStr">
        <is>
          <t>item_id</t>
        </is>
      </c>
      <c r="B1" s="7" t="inlineStr">
        <is>
          <t>goal</t>
        </is>
      </c>
      <c r="C1" s="7" t="inlineStr">
        <is>
          <t>acceptance_criteria</t>
        </is>
      </c>
      <c r="D1" s="7" t="inlineStr">
        <is>
          <t>asserted_steps</t>
        </is>
      </c>
      <c r="E1" s="7" t="inlineStr">
        <is>
          <t>covered_criteria_numbers</t>
        </is>
      </c>
      <c r="F1" s="7" t="inlineStr">
        <is>
          <t>overall_full_partial_none</t>
        </is>
      </c>
      <c r="G1" s="7" t="inlineStr">
        <is>
          <t>tautology_yes_no</t>
        </is>
      </c>
      <c r="H1" s="7" t="inlineStr">
        <is>
          <t>comment</t>
        </is>
      </c>
    </row>
    <row r="2" ht="45" customHeight="1" s="14">
      <c r="A2" s="19" t="inlineStr">
        <is>
          <t>S001</t>
        </is>
      </c>
      <c r="B2" s="19" t="inlineStr">
        <is>
          <t>The 'Daftar PSB' call-to-action leads to the admission site.</t>
        </is>
      </c>
      <c r="C2" s="19" t="inlineStr">
        <is>
          <t>1. href is https://psb.pesantrenpersis27.com</t>
        </is>
      </c>
      <c r="D2" s="19" t="inlineStr">
        <is>
          <t>1. Check that link "Daftar PSB " has attribute href containing "https://psb.pesantrenpersis27.com"
2. Check that link "Daftar PSB " has attribute href containing "https://psb.pesantrenpersis27.com"</t>
        </is>
      </c>
      <c r="E2" s="10" t="n"/>
      <c r="F2" s="9" t="n"/>
      <c r="G2" s="9" t="n"/>
      <c r="H2" s="9" t="n"/>
    </row>
    <row r="3" ht="45" customHeight="1" s="14">
      <c r="A3" s="19" t="inlineStr">
        <is>
          <t>S002</t>
        </is>
      </c>
      <c r="B3" s="19" t="inlineStr">
        <is>
          <t>The 'Info Terbaru' call-to-action opens the news list.</t>
        </is>
      </c>
      <c r="C3" s="19" t="inlineStr">
        <is>
          <t>1. URL is /portal/berita
2. H1 is 'Berita Terbaru'</t>
        </is>
      </c>
      <c r="D3" s="19" t="inlineStr">
        <is>
          <t>1. Check that link "Info Terbaru" has attribute href containing "http://127.0.0.1:8000/portal/berita"
2. Check that link "Info Terbaru" has attribute href containing "http://127.0.0.1:8000/portal/berita"</t>
        </is>
      </c>
      <c r="E3" s="10" t="n"/>
      <c r="F3" s="9" t="n"/>
      <c r="G3" s="9" t="n"/>
      <c r="H3" s="9" t="n"/>
    </row>
    <row r="4" ht="45" customHeight="1" s="14">
      <c r="A4" s="19" t="inlineStr">
        <is>
          <t>S003</t>
        </is>
      </c>
      <c r="B4" s="19" t="inlineStr">
        <is>
          <t>The 'Info Terbaru' call-to-action opens the news list.</t>
        </is>
      </c>
      <c r="C4" s="19" t="inlineStr">
        <is>
          <t>1. URL is /portal/berita
2. H1 is 'Berita Terbaru'</t>
        </is>
      </c>
      <c r="D4" s="19" t="inlineStr">
        <is>
          <t>1. Check that link "Info Terbaru" has attribute href containing "http://127.0.0.1:8000/portal/berita"
2. Check that link "Info Terbaru" has attribute href containing "http://127.0.0.1:8000/portal/berita"</t>
        </is>
      </c>
      <c r="E4" s="10" t="n"/>
      <c r="F4" s="9" t="n"/>
      <c r="G4" s="9" t="n"/>
      <c r="H4" s="9" t="n"/>
    </row>
    <row r="5" ht="45" customHeight="1" s="14">
      <c r="A5" s="19" t="inlineStr">
        <is>
          <t>S004</t>
        </is>
      </c>
      <c r="B5" s="19" t="inlineStr">
        <is>
          <t>Opening an article from the list shows consistent data.</t>
        </is>
      </c>
      <c r="C5" s="19" t="inlineStr">
        <is>
          <t>1. URL equals card href
2. H1 equals card title
3. Publication date equals card date</t>
        </is>
      </c>
      <c r="D5" s="19" t="inlineStr">
        <is>
          <t>1. Check that link "SILATURAHMI ORANG TUA SANTRI BARU TA. 2026-2027" has attribute href containing "http://127.0.0.1:8000/portal/silaturahmi-orang-tua-santri-baru-ta-2026-2027"
2. Check that link "SILATURAHMI ORANG TUA SANTRI BARU TA. 2026-2027" has attribute href containing "http://127.0.0.1:8000/portal/silaturahmi-orang-tua-santri-baru-ta-2026-2027"</t>
        </is>
      </c>
      <c r="E5" s="10" t="n"/>
      <c r="F5" s="9" t="n"/>
      <c r="G5" s="9" t="n"/>
      <c r="H5" s="9" t="n"/>
    </row>
    <row r="6" ht="45" customHeight="1" s="14">
      <c r="A6" s="19" t="inlineStr">
        <is>
          <t>S005</t>
        </is>
      </c>
      <c r="B6" s="19" t="inlineStr">
        <is>
          <t>Opening an article from the list shows consistent data.</t>
        </is>
      </c>
      <c r="C6" s="19" t="inlineStr">
        <is>
          <t>1. URL equals card href
2. H1 equals card title
3. Publication date equals card date</t>
        </is>
      </c>
      <c r="D6" s="19" t="inlineStr">
        <is>
          <t>1. Check that link "SILATURAHMI ORANG TUA SANTRI BARU TA. 2026-2027" has attribute href containing "http://127.0.0.1:8000/portal/silaturahmi-orang-tua-santri-baru-ta-2026-2027"
2. Check that link "SILATURAHMI ORANG TUA SANTRI BARU TA. 2026-2027" has attribute href containing "http://127.0.0.1:8000/portal/silaturahmi-orang-tua-santri-baru-ta-2026-2027"</t>
        </is>
      </c>
      <c r="E6" s="10" t="n"/>
      <c r="F6" s="9" t="n"/>
      <c r="G6" s="9" t="n"/>
      <c r="H6" s="9" t="n"/>
    </row>
    <row r="7" ht="45" customHeight="1" s="14">
      <c r="A7" s="19" t="inlineStr">
        <is>
          <t>S006</t>
        </is>
      </c>
      <c r="B7" s="19" t="inlineStr">
        <is>
          <t>A visitor opens a student article from the list.</t>
        </is>
      </c>
      <c r="C7" s="19" t="inlineStr">
        <is>
          <t>1. Article H1 equals the card title</t>
        </is>
      </c>
      <c r="D7" s="19" t="inlineStr">
        <is>
          <t>1. Check that link "Menata Amal Shalih dalam Skala Prioritas" has attribute href containing "http://127.0.0.1:8000/portal/menata-amal-shalih-dalam-skala-prioritas"
2. Check that link "Menata Amal Shalih dalam Skala Prioritas" has attribute href containing "http://127.0.0.1:8000/portal/menata-amal-shalih-dalam-skala-prioritas"</t>
        </is>
      </c>
      <c r="E7" s="10" t="n"/>
      <c r="F7" s="9" t="n"/>
      <c r="G7" s="9" t="n"/>
      <c r="H7" s="9" t="n"/>
    </row>
    <row r="8" ht="45" customHeight="1" s="14">
      <c r="A8" s="19" t="inlineStr">
        <is>
          <t>S007</t>
        </is>
      </c>
      <c r="B8" s="19" t="inlineStr">
        <is>
          <t>Opening an article from the list shows consistent data.</t>
        </is>
      </c>
      <c r="C8" s="19" t="inlineStr">
        <is>
          <t>1. URL equals card href
2. H1 equals card title
3. Publication date equals card date</t>
        </is>
      </c>
      <c r="D8" s="19" t="inlineStr">
        <is>
          <t>1. Check that link "SILATURAHMI ORANG TUA SANTRI BARU TA. 2026-2027" has attribute href containing "http://127.0.0.1:8000/portal/silaturahmi-orang-tua-santri-baru-ta-2026-2027"
2. Check that link "SILATURAHMI ORANG TUA SANTRI BARU TA. 2026-2027" has attribute href containing "http://127.0.0.1:8000/portal/silaturahmi-orang-tua-santri-baru-ta-2026-2027"</t>
        </is>
      </c>
      <c r="E8" s="10" t="n"/>
      <c r="F8" s="9" t="n"/>
      <c r="G8" s="9" t="n"/>
      <c r="H8" s="9" t="n"/>
    </row>
    <row r="9" ht="45" customHeight="1" s="14">
      <c r="A9" s="19" t="inlineStr">
        <is>
          <t>S008</t>
        </is>
      </c>
      <c r="B9" s="19" t="inlineStr">
        <is>
          <t>A visitor opens the portal home page.</t>
        </is>
      </c>
      <c r="C9" s="19" t="inlineStr">
        <is>
          <t>1. HTTP status &lt; 400
2. Page title contains 'Pesantren PERSIS 27'
3. Main heading contains 'Tafaqquh Fid Din'</t>
        </is>
      </c>
      <c r="D9" s="19" t="inlineStr">
        <is>
          <t>1. Check that the page title contains "Portal Pesantren PERSIS 27 Situaksan"
2. Check that the page title contains "Portal Pesantren PERSIS 27 Situaksan"</t>
        </is>
      </c>
      <c r="E9" s="10" t="n"/>
      <c r="F9" s="9" t="n"/>
      <c r="G9" s="9" t="n"/>
      <c r="H9" s="9" t="n"/>
    </row>
    <row r="10" ht="45" customHeight="1" s="14">
      <c r="A10" s="19" t="inlineStr">
        <is>
          <t>S009</t>
        </is>
      </c>
      <c r="B10" s="19" t="inlineStr">
        <is>
          <t>A visitor opens the portal home page.</t>
        </is>
      </c>
      <c r="C10" s="19" t="inlineStr">
        <is>
          <t>1. HTTP status &lt; 400
2. Page title contains 'Pesantren PERSIS 27'
3. Main heading contains 'Tafaqquh Fid Din'</t>
        </is>
      </c>
      <c r="D10" s="19" t="inlineStr">
        <is>
          <t>1. Check that link "Daftar PSB" has attribute href containing "https://psb.pesantrenpersis27.com"
2. Check that link "Daftar PSB" has attribute href containing "https://psb.pesantrenpersis27.com"</t>
        </is>
      </c>
      <c r="E10" s="10" t="n"/>
      <c r="F10" s="9" t="n"/>
      <c r="G10" s="9" t="n"/>
      <c r="H10" s="9" t="n"/>
    </row>
    <row r="11" ht="45" customHeight="1" s="14">
      <c r="A11" s="19" t="inlineStr">
        <is>
          <t>S010</t>
        </is>
      </c>
      <c r="B11" s="19" t="inlineStr">
        <is>
          <t>The 'Info Terbaru' call-to-action opens the news list.</t>
        </is>
      </c>
      <c r="C11" s="19" t="inlineStr">
        <is>
          <t>1. URL is /portal/berita
2. H1 is 'Berita Terbaru'</t>
        </is>
      </c>
      <c r="D11" s="19" t="inlineStr">
        <is>
          <t>1. Check that link "Info Terbaru" has attribute href containing "http://127.0.0.1:8000/portal/berita"
2. Check that link "Info Terbaru" has attribute href containing "http://127.0.0.1:8000/portal/berita"</t>
        </is>
      </c>
      <c r="E11" s="10" t="n"/>
      <c r="F11" s="9" t="n"/>
      <c r="G11" s="9" t="n"/>
      <c r="H11" s="9" t="n"/>
    </row>
    <row r="12" ht="45" customHeight="1" s="14">
      <c r="A12" s="19" t="inlineStr">
        <is>
          <t>S011</t>
        </is>
      </c>
      <c r="B12" s="19" t="inlineStr">
        <is>
          <t>A visitor opens the first latest-news item from the home page.</t>
        </is>
      </c>
      <c r="C12" s="19" t="inlineStr">
        <is>
          <t>1. Article H1 equals the card title</t>
        </is>
      </c>
      <c r="D12" s="19" t="inlineStr">
        <is>
          <t>1. Check that link "Lihat Semua" has attribute href containing "http://127.0.0.1:8000/portal/berita"</t>
        </is>
      </c>
      <c r="E12" s="10" t="n"/>
      <c r="F12" s="9" t="n"/>
      <c r="G12" s="9" t="n"/>
      <c r="H12" s="9" t="n"/>
    </row>
    <row r="13" ht="45" customHeight="1" s="14">
      <c r="A13" s="19" t="inlineStr">
        <is>
          <t>S012</t>
        </is>
      </c>
      <c r="B13" s="19" t="inlineStr">
        <is>
          <t>Breadcrumb and share links refer to the current article.</t>
        </is>
      </c>
      <c r="C13" s="19" t="inlineStr">
        <is>
          <t>1. Breadcrumb has Beranda and Berita
2. WhatsApp/Facebook/Twitter links contain the article URL</t>
        </is>
      </c>
      <c r="D13" s="19" t="inlineStr">
        <is>
          <t>1. Check that link "WhatsApp" has attribute href containing "https://wa.me/?text=JIHAD+ISTIMEWA+%26+PELEPASAN+JAMA%E2%80%99AH+HAJI+2026+http%3A%2F%2F127.0.0.1%3A8000%2Fportal%2Fjihad-istimewa-pelepasan-jamaah-haji-2026"
2. Check that link "WhatsApp" has attribute href containing "https://wa.me/?text=JIHAD+ISTIMEWA+%26+PELEPASAN+JAMA%E2%80%99AH+HAJI+2026+http%3A%2F%2F127.0.0.1%3A8000%2Fportal%2Fjihad-istimewa-pelepasan-jamaah-haji-2026"</t>
        </is>
      </c>
      <c r="E13" s="10" t="n"/>
      <c r="F13" s="9" t="n"/>
      <c r="G13" s="9" t="n"/>
      <c r="H13" s="9" t="n"/>
    </row>
    <row r="14" ht="75" customHeight="1" s="14">
      <c r="A14" s="19" t="inlineStr">
        <is>
          <t>S013</t>
        </is>
      </c>
      <c r="B14" s="19" t="inlineStr">
        <is>
          <t>A visitor opens the portal home page.</t>
        </is>
      </c>
      <c r="C14" s="19" t="inlineStr">
        <is>
          <t>1. HTTP status &lt; 400
2. Page title contains 'Pesantren PERSIS 27'
3. Main heading contains 'Tafaqquh Fid Din'</t>
        </is>
      </c>
      <c r="D14" s="19" t="inlineStr">
        <is>
          <t>1. Check that the page title contains "Portal Pesantren PERSIS 27 Situaksan"
2. Check that link "Daftar PSB " has attribute href containing "https://psb.pesantrenpersis27.com"
3. Check that link "Daftar PSB" has attribute href containing "https://psb.pesantrenpersis27.com"
4. Check that link "Daftar PSB" has attribute href containing "https://psb.pesantrenpersis27.com"</t>
        </is>
      </c>
      <c r="E14" s="10" t="n"/>
      <c r="F14" s="9" t="n"/>
      <c r="G14" s="9" t="n"/>
      <c r="H14" s="9" t="n"/>
    </row>
    <row r="15" ht="45" customHeight="1" s="14">
      <c r="A15" s="19" t="inlineStr">
        <is>
          <t>S014</t>
        </is>
      </c>
      <c r="B15" s="19" t="inlineStr">
        <is>
          <t>A visitor opens the portal home page.</t>
        </is>
      </c>
      <c r="C15" s="19" t="inlineStr">
        <is>
          <t>1. HTTP status &lt; 400
2. Page title contains 'Pesantren PERSIS 27'
3. Main heading contains 'Tafaqquh Fid Din'</t>
        </is>
      </c>
      <c r="D15" s="19" t="inlineStr">
        <is>
          <t>1. Check that the page title contains "Portal Pesantren PERSIS 27 Situaksan"
2. Check that the page title contains "Portal Pesantren PERSIS 27 Situaksan"</t>
        </is>
      </c>
      <c r="E15" s="10" t="n"/>
      <c r="F15" s="9" t="n"/>
      <c r="G15" s="9" t="n"/>
      <c r="H15" s="9" t="n"/>
    </row>
    <row r="16" ht="45" customHeight="1" s="14">
      <c r="A16" s="19" t="inlineStr">
        <is>
          <t>S015</t>
        </is>
      </c>
      <c r="B16" s="19" t="inlineStr">
        <is>
          <t>Statistic links (alumni, santri per jenjang) lead to valid targets.</t>
        </is>
      </c>
      <c r="C16" s="19" t="inlineStr">
        <is>
          <t>1. Alumni page returns &lt; 400
2. Anchors #tsanawiyyah and #muallimin exist on the santri page</t>
        </is>
      </c>
      <c r="D16" s="19" t="inlineStr">
        <is>
          <t>1. Check that link "364 + Alumni tersebar di nusantara " has attribute href containing "http://127.0.0.1:8000/portal/halaman/alumni"</t>
        </is>
      </c>
      <c r="E16" s="10" t="n"/>
      <c r="F16" s="9" t="n"/>
      <c r="G16" s="9" t="n"/>
      <c r="H16" s="9" t="n"/>
    </row>
    <row r="17" ht="45" customHeight="1" s="14">
      <c r="A17" s="19" t="inlineStr">
        <is>
          <t>S016</t>
        </is>
      </c>
      <c r="B17" s="19" t="inlineStr">
        <is>
          <t>Invalid credentials are rejected with a clear message.</t>
        </is>
      </c>
      <c r="C17" s="19" t="inlineStr">
        <is>
          <t>1. Remains on /login
2. Error message visible
3. Password field is cleared</t>
        </is>
      </c>
      <c r="D17" s="19" t="inlineStr">
        <is>
          <t>1. Check that textbox "Password" has attribute value containing "clear"</t>
        </is>
      </c>
      <c r="E17" s="10" t="n"/>
      <c r="F17" s="9" t="n"/>
      <c r="G17" s="9" t="n"/>
      <c r="H17" s="9" t="n"/>
    </row>
    <row r="18" ht="45" customHeight="1" s="14">
      <c r="A18" s="19" t="inlineStr">
        <is>
          <t>S017</t>
        </is>
      </c>
      <c r="B18" s="19" t="inlineStr">
        <is>
          <t>Breadcrumb and share links refer to the current article.</t>
        </is>
      </c>
      <c r="C18" s="19" t="inlineStr">
        <is>
          <t>1. Breadcrumb has Beranda and Berita
2. WhatsApp/Facebook/Twitter links contain the article URL</t>
        </is>
      </c>
      <c r="D18" s="19" t="inlineStr">
        <is>
          <t>1. Check that link "WhatsApp" has attribute href containing "https://wa.me/?text=JIHAD+ISTIMEWA+%26+PELEPASAN+JAMA%E2%80%99AH+HAJI+2026+http%3A%2F%2F127.0.0.1%3A8000%2Fportal%2Fjihad-istimewa-pelepasan-jamaah-haji-2026"
2. Check that link "WhatsApp" has attribute href containing "https://wa.me/?text=JIHAD+ISTIMEWA+%26+PELEPASAN+JAMA%E2%80%99AH+HAJI+2026+http%3A%2F%2F127.0.0.1%3A8000%2Fportal%2Fjihad-istimewa-pelepasan-jamaah-haji-2026"</t>
        </is>
      </c>
      <c r="E18" s="10" t="n"/>
      <c r="F18" s="9" t="n"/>
      <c r="G18" s="9" t="n"/>
      <c r="H18" s="9" t="n"/>
    </row>
    <row r="19" ht="45" customHeight="1" s="14">
      <c r="A19" s="19" t="inlineStr">
        <is>
          <t>S018</t>
        </is>
      </c>
      <c r="B19" s="19" t="inlineStr">
        <is>
          <t>The 'Daftar PSB' call-to-action leads to the admission site.</t>
        </is>
      </c>
      <c r="C19" s="19" t="inlineStr">
        <is>
          <t>1. href is https://psb.pesantrenpersis27.com</t>
        </is>
      </c>
      <c r="D19" s="19" t="inlineStr">
        <is>
          <t>1. Check that link "Daftar PSB " has attribute href containing "https://psb.pesantrenpersis27.com"
2. Check that link "Daftar PSB " has attribute href containing "https://psb.pesantrenpersis27.com"</t>
        </is>
      </c>
      <c r="E19" s="10" t="n"/>
      <c r="F19" s="9" t="n"/>
      <c r="G19" s="9" t="n"/>
      <c r="H19" s="9" t="n"/>
    </row>
    <row r="20" ht="45" customHeight="1" s="14">
      <c r="A20" s="19" t="inlineStr">
        <is>
          <t>S019</t>
        </is>
      </c>
      <c r="B20" s="19" t="inlineStr">
        <is>
          <t>'Kembali ke Landing Page' returns to the portal.</t>
        </is>
      </c>
      <c r="C20" s="19" t="inlineStr">
        <is>
          <t>1. URL is the portal root</t>
        </is>
      </c>
      <c r="D20" s="19" t="inlineStr">
        <is>
          <t>1. Check that link "Kembali ke Landing Page" has attribute href containing "http://127.0.0.1:8000"</t>
        </is>
      </c>
      <c r="E20" s="10" t="n"/>
      <c r="F20" s="9" t="n"/>
      <c r="G20" s="9" t="n"/>
      <c r="H20" s="9" t="n"/>
    </row>
    <row r="21" ht="45" customHeight="1" s="14">
      <c r="A21" s="19" t="inlineStr">
        <is>
          <t>S020</t>
        </is>
      </c>
      <c r="B21" s="19" t="inlineStr">
        <is>
          <t>'Kembali ke Landing Page' returns to the portal.</t>
        </is>
      </c>
      <c r="C21" s="19" t="inlineStr">
        <is>
          <t>1. URL is the portal root</t>
        </is>
      </c>
      <c r="D21" s="19" t="inlineStr">
        <is>
          <t>1. Check that link "Kembali ke Landing Page" has attribute href containing "http://127.0.0.1:8000"
2. Check that link "Kembali ke Landing Page" has attribute href containing "http://127.0.0.1:8000"</t>
        </is>
      </c>
      <c r="E21" s="10" t="n"/>
      <c r="F21" s="9" t="n"/>
      <c r="G21" s="9" t="n"/>
      <c r="H21" s="9" t="n"/>
    </row>
    <row r="22" ht="45" customHeight="1" s="14">
      <c r="A22" s="19" t="inlineStr">
        <is>
          <t>S021</t>
        </is>
      </c>
      <c r="B22" s="19" t="inlineStr">
        <is>
          <t>Opening an article from the list shows consistent data.</t>
        </is>
      </c>
      <c r="C22" s="19" t="inlineStr">
        <is>
          <t>1. URL equals card href
2. H1 equals card title
3. Publication date equals card date</t>
        </is>
      </c>
      <c r="D22" s="19" t="inlineStr">
        <is>
          <t>1. Check that link "SILATURAHMI ORANG TUA SANTRI BARU TA. 2026-2027" has attribute href containing "http://127.0.0.1:8000/portal/silaturahmi-orang-tua-santri-baru-ta-2026-2027"
2. Check that link "SILATURAHMI ORANG TUA SANTRI BARU TA. 2026-2027" has attribute href containing "http://127.0.0.1:8000/portal/silaturahmi-orang-tua-santri-baru-ta-2026-2027"</t>
        </is>
      </c>
      <c r="E22" s="10" t="n"/>
      <c r="F22" s="9" t="n"/>
      <c r="G22" s="9" t="n"/>
      <c r="H22" s="9" t="n"/>
    </row>
    <row r="23" ht="45" customHeight="1" s="14">
      <c r="A23" s="19" t="inlineStr">
        <is>
          <t>S022</t>
        </is>
      </c>
      <c r="B23" s="19" t="inlineStr">
        <is>
          <t>Breadcrumb and share links refer to the current article.</t>
        </is>
      </c>
      <c r="C23" s="19" t="inlineStr">
        <is>
          <t>1. Breadcrumb has Beranda and Berita
2. WhatsApp/Facebook/Twitter links contain the article URL</t>
        </is>
      </c>
      <c r="D23" s="19" t="inlineStr">
        <is>
          <t>1. Check that link "WhatsApp" has attribute href containing "https://wa.me/?text=JIHAD+ISTIMEWA+%26+PELEPASAN+JAMA%E2%80%99AH+HAJI+2026+http%3A%2F%2F127.0.0.1%3A8000%2Fportal%2Fjihad-istimewa-pelepasan-jamaah-haji-2026"
2. Check that link "WhatsApp" has attribute href containing "https://wa.me/?text=JIHAD+ISTIMEWA+%26+PELEPASAN+JAMA%E2%80%99AH+HAJI+2026+http%3A%2F%2F127.0.0.1%3A8000%2Fportal%2Fjihad-istimewa-pelepasan-jamaah-haji-2026"</t>
        </is>
      </c>
      <c r="E23" s="10" t="n"/>
      <c r="F23" s="9" t="n"/>
      <c r="G23" s="9" t="n"/>
      <c r="H23" s="9" t="n"/>
    </row>
  </sheetData>
  <dataValidations count="2">
    <dataValidation sqref="F2:F23" showDropDown="0" showInputMessage="1" showErrorMessage="1" allowBlank="1" errorTitle="Nilai tidak valid" error="full, partial, atau none" promptTitle="Pilih" prompt="full, partial, atau none" type="list">
      <formula1>"full,partial,none"</formula1>
    </dataValidation>
    <dataValidation sqref="G2:G23" showDropDown="0" showInputMessage="1" showErrorMessage="1" allowBlank="1" errorTitle="Nilai tidak valid" error="yes atau no" promptTitle="Pilih" prompt="yes atau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10" defaultColWidth="8.83203125" defaultRowHeight="15"/>
  <cols>
    <col width="40" customWidth="1" style="14" min="1" max="1"/>
    <col width="12" customWidth="1" style="14" min="2" max="4"/>
  </cols>
  <sheetData>
    <row r="1">
      <c r="A1" s="11" t="inlineStr">
        <is>
          <t>Bagian</t>
        </is>
      </c>
      <c r="B1" s="11" t="inlineStr">
        <is>
          <t>Terisi</t>
        </is>
      </c>
      <c r="C1" s="11" t="inlineStr">
        <is>
          <t>Total</t>
        </is>
      </c>
      <c r="D1" s="11" t="inlineStr">
        <is>
          <t>%</t>
        </is>
      </c>
    </row>
    <row r="2">
      <c r="A2" s="19" t="inlineStr">
        <is>
          <t>A — R1 Relevansi</t>
        </is>
      </c>
      <c r="B2" s="19">
        <f>COUNTA('A-Langkah'!H2:H71)</f>
        <v/>
      </c>
      <c r="C2" s="19" t="n">
        <v>70</v>
      </c>
      <c r="D2" s="12">
        <f>IF(C2=0,"",B2/C2)</f>
        <v/>
      </c>
    </row>
    <row r="3">
      <c r="A3" s="19" t="inlineStr">
        <is>
          <t>A — R2 Kebenaran</t>
        </is>
      </c>
      <c r="B3" s="19">
        <f>COUNTA('A-Langkah'!I2:I71)</f>
        <v/>
      </c>
      <c r="C3" s="19" t="n">
        <v>70</v>
      </c>
      <c r="D3" s="12">
        <f>IF(C3=0,"",B3/C3)</f>
        <v/>
      </c>
    </row>
    <row r="4">
      <c r="A4" s="19" t="inlineStr">
        <is>
          <t>A — R3 Keputusan</t>
        </is>
      </c>
      <c r="B4" s="19">
        <f>COUNTA('A-Langkah'!J2:J71)</f>
        <v/>
      </c>
      <c r="C4" s="19" t="n">
        <v>70</v>
      </c>
      <c r="D4" s="12">
        <f>IF(C4=0,"",B4/C4)</f>
        <v/>
      </c>
    </row>
    <row r="5">
      <c r="A5" s="19" t="inlineStr">
        <is>
          <t>B — overall</t>
        </is>
      </c>
      <c r="B5" s="19">
        <f>COUNTA('B-Skenario'!F2:F23)</f>
        <v/>
      </c>
      <c r="C5" s="19" t="n">
        <v>22</v>
      </c>
      <c r="D5" s="12">
        <f>IF(C5=0,"",B5/C5)</f>
        <v/>
      </c>
    </row>
    <row r="6">
      <c r="A6" s="19" t="inlineStr">
        <is>
          <t>B — tautology</t>
        </is>
      </c>
      <c r="B6" s="19">
        <f>COUNTA('B-Skenario'!G2:G23)</f>
        <v/>
      </c>
      <c r="C6" s="19" t="n">
        <v>22</v>
      </c>
      <c r="D6" s="12">
        <f>IF(C6=0,"",B6/C6)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2026-09-24T05:43:47Z</dcterms:created>
  <dcterms:modified xmlns:dcterms="http://purl.org/dc/terms/" xmlns:xsi="http://www.w3.org/2001/XMLSchema-instance" xsi:type="dcterms:W3CDTF">2026-10-01T04:37:16Z</dcterms:modified>
</cp:coreProperties>
</file>